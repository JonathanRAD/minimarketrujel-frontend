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4" name="base de pedidos" state="visible" r:id="rId4"/>
    <sheet sheetId="5" name="Hoja1" state="visible" r:id="rId5"/>
  </sheets>
  <definedNames>
    <definedName name="_xlnm._FilterDatabase">'base de pedidos'!$A$1:$K$102</definedName>
  </definedNames>
  <calcPr calcId="171027"/>
</workbook>
</file>

<file path=xl/sharedStrings.xml><?xml version="1.0" encoding="utf-8"?>
<sst xmlns="http://schemas.openxmlformats.org/spreadsheetml/2006/main" count="513" uniqueCount="297">
  <si>
    <t>ID</t>
  </si>
  <si>
    <t>PRODUCTO</t>
  </si>
  <si>
    <t>MARCA</t>
  </si>
  <si>
    <t>PRESENTACIÓN</t>
  </si>
  <si>
    <t>CANT.</t>
  </si>
  <si>
    <t xml:space="preserve">UNID. 
MEDIDA</t>
  </si>
  <si>
    <t>PRECIO</t>
  </si>
  <si>
    <t xml:space="preserve">PRECIO 
UNITARIO</t>
  </si>
  <si>
    <t xml:space="preserve">% 
UTILIDAD</t>
  </si>
  <si>
    <t xml:space="preserve">PRECIO 
VENTA</t>
  </si>
  <si>
    <t>UND.</t>
  </si>
  <si>
    <t>FECHA Y HORA DE AGREGADO</t>
  </si>
  <si>
    <t>JABON DE TOCADOR</t>
  </si>
  <si>
    <t>CAMAY</t>
  </si>
  <si>
    <t>85 GR</t>
  </si>
  <si>
    <t>UNID.</t>
  </si>
  <si>
    <t>19/07/2026, 11:43:53 a. m.</t>
  </si>
  <si>
    <t>JABON PROTEX</t>
  </si>
  <si>
    <t>110 GR.</t>
  </si>
  <si>
    <t>19/07/2026, 11:48:59 a. m.</t>
  </si>
  <si>
    <t>TOALLAS PERSONALES MUJER</t>
  </si>
  <si>
    <t>NOSOTRAS</t>
  </si>
  <si>
    <t>10 UND.</t>
  </si>
  <si>
    <t>19/07/2026, 11:51:12 a. m.</t>
  </si>
  <si>
    <t>GRATED DE ATUN</t>
  </si>
  <si>
    <t>MARINERO</t>
  </si>
  <si>
    <t>13/07/2026, 03:36:31 p. m.</t>
  </si>
  <si>
    <t>SASONADOR - CALDO DE CARNE</t>
  </si>
  <si>
    <t>DOÑA GUSTA</t>
  </si>
  <si>
    <t>7GR</t>
  </si>
  <si>
    <t>19/07/2026, 01:18:10 p. m.</t>
  </si>
  <si>
    <t>SASONADOR - CALDO DE GALLINA</t>
  </si>
  <si>
    <t>19/07/2026, 01:16:01 p. m.</t>
  </si>
  <si>
    <t>CEPILLO DENTAL</t>
  </si>
  <si>
    <t>KOLINOS</t>
  </si>
  <si>
    <t>19/07/2026, 11:40:53 a. m.</t>
  </si>
  <si>
    <t>COLGATE</t>
  </si>
  <si>
    <t>PREMIER CLEAN</t>
  </si>
  <si>
    <t>19/07/2026, 03:15:29 p. m.</t>
  </si>
  <si>
    <t>FILETE DE ATUN - EN ACEITE</t>
  </si>
  <si>
    <t>FLORIDA</t>
  </si>
  <si>
    <t>13/07/2026, 04:01:46 p. m.</t>
  </si>
  <si>
    <t>CAMPOMAR</t>
  </si>
  <si>
    <t>13/07/2026, 03:29:21 p. m.</t>
  </si>
  <si>
    <t>75GR</t>
  </si>
  <si>
    <t>19/07/2026, 11:47:31 a. m.</t>
  </si>
  <si>
    <t>GASEOSA SIN AZUCAR</t>
  </si>
  <si>
    <t>COCA COLA</t>
  </si>
  <si>
    <t>600ML</t>
  </si>
  <si>
    <t>13/07/2026, 04:32:21 p. m.</t>
  </si>
  <si>
    <t>INKA KOLA</t>
  </si>
  <si>
    <t>13/07/2026, 04:21:17 p. m.</t>
  </si>
  <si>
    <t>PALMOLIVE</t>
  </si>
  <si>
    <t>19/07/2026, 11:45:12 a. m.</t>
  </si>
  <si>
    <t>TROZOS DE ATUN - EN ACEITE</t>
  </si>
  <si>
    <t>FLORIDA EN TROZOS ACEITE VEGETAL</t>
  </si>
  <si>
    <t>140GR</t>
  </si>
  <si>
    <t>19/07/2026, 03:18:06 p. m.</t>
  </si>
  <si>
    <t>GLORIA</t>
  </si>
  <si>
    <t>13/07/2026, 03:45:03 p. m.</t>
  </si>
  <si>
    <t>CREMA DENTAL</t>
  </si>
  <si>
    <t>65ML</t>
  </si>
  <si>
    <t>13/07/2026, 03:05:20 p. m.</t>
  </si>
  <si>
    <t>SILLAO</t>
  </si>
  <si>
    <t>KIKO</t>
  </si>
  <si>
    <t>160CC</t>
  </si>
  <si>
    <t>13/07/2026, 03:11:00 p. m.</t>
  </si>
  <si>
    <t>PAPEL TOALLA</t>
  </si>
  <si>
    <t>NOVA</t>
  </si>
  <si>
    <t>19/07/2026, 01:35:32 p. m.</t>
  </si>
  <si>
    <t>19/07/2026, 03:12:18 p. m.</t>
  </si>
  <si>
    <t>AJINOSILLAO</t>
  </si>
  <si>
    <t>500ML</t>
  </si>
  <si>
    <t>13/07/2026, 03:09:35 p. m.</t>
  </si>
  <si>
    <t>GASEOSA CON AZUCAR</t>
  </si>
  <si>
    <t>13/07/2026, 03:17:11 p. m.</t>
  </si>
  <si>
    <t>PEPSI</t>
  </si>
  <si>
    <t>750ML</t>
  </si>
  <si>
    <t>13/07/2026, 03:13:22 p. m.</t>
  </si>
  <si>
    <t>AGUA MINERAL</t>
  </si>
  <si>
    <t>SAN CARLOS</t>
  </si>
  <si>
    <t>19/07/2026, 02:21:20 p. m.</t>
  </si>
  <si>
    <t>BEBIDA ENERGIZANTE</t>
  </si>
  <si>
    <t>SPORADE</t>
  </si>
  <si>
    <t>13/07/2026, 04:02:57 p. m.</t>
  </si>
  <si>
    <t>PAPEL HIGIÉNICO</t>
  </si>
  <si>
    <t>NOBLE</t>
  </si>
  <si>
    <t>PQ4 UND - 30 MT</t>
  </si>
  <si>
    <t>AGOTADO</t>
  </si>
  <si>
    <t>19/07/2026, 02:03:12 p. m.</t>
  </si>
  <si>
    <t>LECHE EVAPORADA SIN LACTOSA</t>
  </si>
  <si>
    <t>LAIVE</t>
  </si>
  <si>
    <t>390GR</t>
  </si>
  <si>
    <t>13/07/2026, 02:41:09 p. m.</t>
  </si>
  <si>
    <t>SAN MATEO</t>
  </si>
  <si>
    <t>2.5LT</t>
  </si>
  <si>
    <t>19/07/2026, 02:23:50 p. m.</t>
  </si>
  <si>
    <t>LECHE EVAPORADA</t>
  </si>
  <si>
    <t>13/07/2026, 02:42:52 p. m.</t>
  </si>
  <si>
    <t xml:space="preserve">PQ2 UND </t>
  </si>
  <si>
    <t>19/07/2026, 01:34:50 p. m.</t>
  </si>
  <si>
    <t>3LT</t>
  </si>
  <si>
    <t>19/07/2026, 02:47:50 p. m.</t>
  </si>
  <si>
    <t>19/07/2026, 02:13:06 p. m.</t>
  </si>
  <si>
    <t>19/07/2026, 02:27:49 p. m.</t>
  </si>
  <si>
    <t>ARROZ</t>
  </si>
  <si>
    <t>FARAON</t>
  </si>
  <si>
    <t>NARANJA - EXTRA AÑEJO</t>
  </si>
  <si>
    <t>19/07/2026, 01:05:19 p. m.</t>
  </si>
  <si>
    <t>AZUCAR RUBIA</t>
  </si>
  <si>
    <t>SAN JACINTO</t>
  </si>
  <si>
    <t>19/07/2026, 01:06:25 p. m.</t>
  </si>
  <si>
    <t>BEBIDA SALUDABLE</t>
  </si>
  <si>
    <t>KERO ALOE</t>
  </si>
  <si>
    <t>UVA</t>
  </si>
  <si>
    <t>13/07/2026, 03:22:18 p. m.</t>
  </si>
  <si>
    <t>300ML</t>
  </si>
  <si>
    <t>19/07/2026, 02:45:57 p. m.</t>
  </si>
  <si>
    <t>1.5LT</t>
  </si>
  <si>
    <t>19/07/2026, 02:15:55 p. m.</t>
  </si>
  <si>
    <t>19/07/2026, 02:13:59 p. m.</t>
  </si>
  <si>
    <t>PIÑA</t>
  </si>
  <si>
    <t>13/07/2026, 03:23:17 p. m.</t>
  </si>
  <si>
    <t>COCA COLA / INKA KOLA</t>
  </si>
  <si>
    <t>19/07/2026, 02:15:05 p. m.</t>
  </si>
  <si>
    <t>DOCTOR</t>
  </si>
  <si>
    <t>220ML</t>
  </si>
  <si>
    <t>19/07/2026, 01:33:40 p. m.</t>
  </si>
  <si>
    <t>ACEITE</t>
  </si>
  <si>
    <t>DELEITE</t>
  </si>
  <si>
    <t>900ML</t>
  </si>
  <si>
    <t>19/07/2026, 02:50:44 p. m.</t>
  </si>
  <si>
    <t>VENDITAS</t>
  </si>
  <si>
    <t>FAMILY DOCTOR</t>
  </si>
  <si>
    <t>1 UND</t>
  </si>
  <si>
    <t>13/07/2026, 03:03:13 p. m.</t>
  </si>
  <si>
    <t>SAL DE MESA</t>
  </si>
  <si>
    <t>EMSAL</t>
  </si>
  <si>
    <t>1KG</t>
  </si>
  <si>
    <t>19/07/2026, 12:56:49 p. m.</t>
  </si>
  <si>
    <t>CAFÉ</t>
  </si>
  <si>
    <t>ALTOMAYO</t>
  </si>
  <si>
    <t>19/07/2026, 01:25:02 p. m.</t>
  </si>
  <si>
    <t>FIDEOS PARA SOPA</t>
  </si>
  <si>
    <t>ANITA</t>
  </si>
  <si>
    <t>250MG</t>
  </si>
  <si>
    <t>19/07/2026, 12:54:58 p. m.</t>
  </si>
  <si>
    <t>SOPA INSTANTÁNEA - BOLSA</t>
  </si>
  <si>
    <t>AJINOMEN</t>
  </si>
  <si>
    <t>GALLINA PICANTE</t>
  </si>
  <si>
    <t>19/07/2026, 12:39:58 p. m.</t>
  </si>
  <si>
    <t>TALLARIN SALTADO</t>
  </si>
  <si>
    <t>19/07/2026, 12:40:54 p. m.</t>
  </si>
  <si>
    <t>GALLINA CRIOLLA</t>
  </si>
  <si>
    <t>19/07/2026, 12:39:08 p. m.</t>
  </si>
  <si>
    <t>CARNE</t>
  </si>
  <si>
    <t>19/07/2026, 12:41:52 p. m.</t>
  </si>
  <si>
    <t>SOPA INSTANTÁNEA - VASO</t>
  </si>
  <si>
    <t>CARNE PICANTE</t>
  </si>
  <si>
    <t>19/07/2026, 12:09:07 p. m.</t>
  </si>
  <si>
    <t>POLLO</t>
  </si>
  <si>
    <t>19/07/2026, 12:18:09 p. m.</t>
  </si>
  <si>
    <t>19/07/2026, 12:08:12 p. m.</t>
  </si>
  <si>
    <t>SALSA DE TOMATE</t>
  </si>
  <si>
    <t>POMAROLA</t>
  </si>
  <si>
    <t>19/07/2026, 12:31:24 p. m.</t>
  </si>
  <si>
    <t>MOLITALIA</t>
  </si>
  <si>
    <t>SALSA BOLOGNESA / CASERA</t>
  </si>
  <si>
    <t>19/07/2026, 03:00:09 p. m.</t>
  </si>
  <si>
    <t>BISCOCHUELO</t>
  </si>
  <si>
    <t>BIMBO - GANSITO BLACK</t>
  </si>
  <si>
    <t>GANSITO BLACK</t>
  </si>
  <si>
    <t>19/07/2026, 01:12:14 p. m.</t>
  </si>
  <si>
    <t>MARINELA - PINGÜINOS</t>
  </si>
  <si>
    <t>2 UND.</t>
  </si>
  <si>
    <t>PACK.</t>
  </si>
  <si>
    <t>19/07/2026, 01:10:34 p. m.</t>
  </si>
  <si>
    <t>SALSA DE ROCOTO</t>
  </si>
  <si>
    <t>ALACENA - UCHUCUTA</t>
  </si>
  <si>
    <t>85 GR.</t>
  </si>
  <si>
    <t>19/07/2026, 12:36:44 p. m.</t>
  </si>
  <si>
    <t>SOYA</t>
  </si>
  <si>
    <t>19/07/2026, 12:46:45 p. m.</t>
  </si>
  <si>
    <t>PRIMOR</t>
  </si>
  <si>
    <t>19/07/2026, 12:47:27 p. m.</t>
  </si>
  <si>
    <t>VINAGRE TINTO</t>
  </si>
  <si>
    <t>DERBY</t>
  </si>
  <si>
    <t>1LT</t>
  </si>
  <si>
    <t>19/07/2026, 12:45:45 p. m.</t>
  </si>
  <si>
    <t>SALSA HUANCAINA</t>
  </si>
  <si>
    <t>ALACENA</t>
  </si>
  <si>
    <t>19/07/2026, 12:29:40 p. m.</t>
  </si>
  <si>
    <t>PALITOS DE MAIZ</t>
  </si>
  <si>
    <t>CHEETOS MEGA QUESO</t>
  </si>
  <si>
    <t>21GR.</t>
  </si>
  <si>
    <t>19/07/2026, 01:28:06 p. m.</t>
  </si>
  <si>
    <t>BEBIDAS LACTEAS</t>
  </si>
  <si>
    <t>SHAKE CAPUCCHINO 320 ML.</t>
  </si>
  <si>
    <t>BOT.</t>
  </si>
  <si>
    <t>19/07/2026, 12:00:33 p. m.</t>
  </si>
  <si>
    <t>SHAKE MOCACCINO 320 ML.</t>
  </si>
  <si>
    <t>19/07/2026, 12:01:33 p. m.</t>
  </si>
  <si>
    <t>LAVAVAJILLAS - PASTA</t>
  </si>
  <si>
    <t>LESLY - LIMON</t>
  </si>
  <si>
    <t>19/07/2026, 02:12:10 p. m.</t>
  </si>
  <si>
    <t>LAVAVAJILLAS - LIQUIDO</t>
  </si>
  <si>
    <t>AYUDIN + ESPONJA</t>
  </si>
  <si>
    <t>280 ML</t>
  </si>
  <si>
    <t>19/07/2026, 11:39:14 a. m.</t>
  </si>
  <si>
    <t>PATITO -UVA</t>
  </si>
  <si>
    <t>19/07/2026, 02:11:28 p. m.</t>
  </si>
  <si>
    <t>PAPAS EN HOJUELAS</t>
  </si>
  <si>
    <t>LAYS CLASICAS</t>
  </si>
  <si>
    <t>17GR.</t>
  </si>
  <si>
    <t>BOL</t>
  </si>
  <si>
    <t>19/07/2026, 01:29:06 p. m.</t>
  </si>
  <si>
    <t>MARINELA - GANSITO</t>
  </si>
  <si>
    <t>50GR.</t>
  </si>
  <si>
    <t>BOL.</t>
  </si>
  <si>
    <t>19/07/2026, 01:12:54 p. m.</t>
  </si>
  <si>
    <t xml:space="preserve">PALITOS DE MAIZ </t>
  </si>
  <si>
    <t>CHEESE TRIS</t>
  </si>
  <si>
    <t>28GR.</t>
  </si>
  <si>
    <t>19/07/2026, 01:31:41 p. m.</t>
  </si>
  <si>
    <t>SALSA MAYONESA</t>
  </si>
  <si>
    <t>ALACENA - MAYOAJO</t>
  </si>
  <si>
    <t>200GR.</t>
  </si>
  <si>
    <t>SACHT.</t>
  </si>
  <si>
    <t>19/07/2026, 02:37:39 p. m.</t>
  </si>
  <si>
    <t>ALACENA - MAYO GOLF-PICKLES</t>
  </si>
  <si>
    <t>19/07/2026, 12:33:43 p. m.</t>
  </si>
  <si>
    <t>ALACENA - MAYO PICANTE</t>
  </si>
  <si>
    <t>ALACENA - MAYO JALAPEÑO</t>
  </si>
  <si>
    <t>ALACENA - CLÁSICA</t>
  </si>
  <si>
    <t>235GR.</t>
  </si>
  <si>
    <t>19/07/2026, 12:26:19 p. m.</t>
  </si>
  <si>
    <t>95GR.</t>
  </si>
  <si>
    <t>19/07/2026, 12:32:16 p. m.</t>
  </si>
  <si>
    <t>SALSA DE AJI</t>
  </si>
  <si>
    <t>ALACENA - TARÍ</t>
  </si>
  <si>
    <t>85GR.</t>
  </si>
  <si>
    <t>KIRMA</t>
  </si>
  <si>
    <t>19/07/2026, 01:26:50 p. m.</t>
  </si>
  <si>
    <t>CAFETAL INSTANTÁNEO</t>
  </si>
  <si>
    <t>8GR.</t>
  </si>
  <si>
    <t xml:space="preserve"> </t>
  </si>
  <si>
    <t>19/07/2026, 01:26:00 p. m.</t>
  </si>
  <si>
    <t>PIQUEOS</t>
  </si>
  <si>
    <t>PIQUEO SNAX ORIGINAL</t>
  </si>
  <si>
    <t>23 GR.</t>
  </si>
  <si>
    <t>19/07/2026, 01:30:01 p. m.</t>
  </si>
  <si>
    <t>CUATES</t>
  </si>
  <si>
    <t>LOS CUATES PICANTES</t>
  </si>
  <si>
    <t>42GR.</t>
  </si>
  <si>
    <t>19/07/2026, 01:30:55 p. m.</t>
  </si>
  <si>
    <t>KEKITO NARANJA</t>
  </si>
  <si>
    <t>90 GR.</t>
  </si>
  <si>
    <t>19/07/2026, 01:13:46 p. m.</t>
  </si>
  <si>
    <t>FOSFOROS</t>
  </si>
  <si>
    <t>INTI</t>
  </si>
  <si>
    <t>CAJ.</t>
  </si>
  <si>
    <t>19/07/2026, 12:04:19 p. m.</t>
  </si>
  <si>
    <t>JABON DE ROPA</t>
  </si>
  <si>
    <t>POPEYE - EXTRA BLANCURA</t>
  </si>
  <si>
    <t>190GR.</t>
  </si>
  <si>
    <t>BARRA.</t>
  </si>
  <si>
    <t>19/07/2026, 11:54:51 a. m.</t>
  </si>
  <si>
    <t>POPEYE - EXTRA SUAVIDAD</t>
  </si>
  <si>
    <t>19/07/2026, 11:53:31 a. m.</t>
  </si>
  <si>
    <t>PRESTOBARBA</t>
  </si>
  <si>
    <t>SCHICK XTREM</t>
  </si>
  <si>
    <t>19/07/2026, 12:03:04 p. m.</t>
  </si>
  <si>
    <t>GALLETA</t>
  </si>
  <si>
    <t>OREO ORIGINAL</t>
  </si>
  <si>
    <t>36GR.</t>
  </si>
  <si>
    <t>19/07/2026, 01:09:15 p. m.</t>
  </si>
  <si>
    <t>RITZ PLAIN</t>
  </si>
  <si>
    <t>20GR.</t>
  </si>
  <si>
    <t>19/07/2026, 01:07:19 p. m.</t>
  </si>
  <si>
    <t>SPAGUETTI</t>
  </si>
  <si>
    <t>DON VITTORIO</t>
  </si>
  <si>
    <t>950GR.</t>
  </si>
  <si>
    <t>19/07/2026, 12:48:22 p. m.</t>
  </si>
  <si>
    <t>PATITO -LIMÓN</t>
  </si>
  <si>
    <t>AYUDÍN -LIMÓN</t>
  </si>
  <si>
    <t>170GR.</t>
  </si>
  <si>
    <t>19/07/2026, 02:09:46 p. m.</t>
  </si>
  <si>
    <t>SHAMPOO</t>
  </si>
  <si>
    <t>SAVITAL</t>
  </si>
  <si>
    <t>510ML.</t>
  </si>
  <si>
    <t>22/07/2026, 08:33:03 p. m.</t>
  </si>
  <si>
    <t>SEDAL</t>
  </si>
  <si>
    <t>340ML.</t>
  </si>
  <si>
    <t>22/07/2026, 08:41:55 p. m.</t>
  </si>
  <si>
    <t>FIDEO TALLARIN</t>
  </si>
  <si>
    <t>500GR</t>
  </si>
  <si>
    <t>22/07/2026, 09:00:21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</si>
</sst>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S/&quot; * #,##0.00_-;-&quot;S/&quot; * #,##0.00_-;_-&quot;S/&quot; * &quot;-&quot;??_-;_-@_-"/>
    <numFmt numFmtId="165" formatCode="0.0"/>
  </numFmts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sz val="10"/>
      <name val="Calibri"/>
    </font>
    <font>
      <color theme="9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" fontId="3" fillId="2" borderId="0" xfId="0" applyNumberFormat="1" applyFon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workbookViewId="0" zoomScale="100" zoomScaleNormal="100">
      <pane ySplit="1" topLeftCell="A77" activePane="bottomLeft" state="frozen"/>
      <selection pane="bottomLeft" activeCell="B19" sqref="B19"/>
    </sheetView>
  </sheetViews>
  <sheetFormatPr defaultRowHeight="15" outlineLevelRow="0" outlineLevelCol="0" x14ac:dyDescent="0.25"/>
  <cols>
    <col min="1" max="1" width="4.85546875" customWidth="1"/>
    <col min="2" max="2" width="25.42578125" customWidth="1"/>
    <col min="3" max="3" width="43.85546875" customWidth="1"/>
    <col min="4" max="4" width="25.140625" customWidth="1"/>
    <col min="5" max="6" width="6.140625" style="1" customWidth="1"/>
    <col min="7" max="7" width="7.42578125" style="1" customWidth="1"/>
    <col min="8" max="8" width="11.42578125" style="1" customWidth="1"/>
    <col min="9" max="9" width="10.5703125" style="1" customWidth="1"/>
    <col min="10" max="10" width="8.42578125" style="1" customWidth="1"/>
    <col min="11" max="11" width="7.28515625" style="1" customWidth="1"/>
    <col min="12" max="12" width="16.7109375" customWidth="1"/>
    <col min="14" max="14" width="16.7109375" customWidth="1"/>
    <col min="15" max="15" width="26" customWidth="1"/>
  </cols>
  <sheetData>
    <row r="1" ht="45" customHeight="1" spans="1:1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s="2" t="s">
        <v>5</v>
      </c>
      <c r="H1" s="1" t="s">
        <v>6</v>
      </c>
      <c r="I1" s="2" t="s">
        <v>7</v>
      </c>
      <c r="J1" s="2" t="s">
        <v>8</v>
      </c>
      <c r="K1" s="2" t="s">
        <v>9</v>
      </c>
      <c r="M1" s="2" t="s">
        <v>4</v>
      </c>
      <c r="N1" s="2" t="s">
        <v>10</v>
      </c>
      <c r="O1" s="3" t="s">
        <v>11</v>
      </c>
    </row>
    <row r="2" spans="1:15" s="4" customFormat="1" x14ac:dyDescent="0.25">
      <c r="A2" s="4">
        <v>1</v>
      </c>
      <c r="B2" s="4" t="s">
        <v>12</v>
      </c>
      <c r="C2" s="4" t="s">
        <v>13</v>
      </c>
      <c r="D2" s="4" t="s">
        <v>14</v>
      </c>
      <c r="E2" s="5">
        <v>12</v>
      </c>
      <c r="F2" s="5"/>
      <c r="G2" s="5" t="s">
        <v>15</v>
      </c>
      <c r="H2" s="6">
        <f>24-1.2</f>
        <v>22.8</v>
      </c>
      <c r="I2" s="7">
        <f t="shared" ref="I2:I41" si="0">+H2/E2</f>
        <v>1.9000000000000001</v>
      </c>
      <c r="J2" s="8">
        <f t="shared" ref="J2:J8" si="1">+_xlfn.PERCENTOF(K2,I2)</f>
        <v>1.3105263157894738</v>
      </c>
      <c r="K2" s="9">
        <v>2.49</v>
      </c>
      <c r="O2" s="5" t="s">
        <v>16</v>
      </c>
    </row>
    <row r="3" spans="1:15" s="4" customFormat="1" x14ac:dyDescent="0.25">
      <c r="A3" s="4">
        <v>2</v>
      </c>
      <c r="B3" s="4" t="s">
        <v>12</v>
      </c>
      <c r="C3" s="4" t="s">
        <v>17</v>
      </c>
      <c r="D3" s="4" t="s">
        <v>18</v>
      </c>
      <c r="E3" s="5">
        <v>6</v>
      </c>
      <c r="F3" s="5"/>
      <c r="G3" s="5" t="s">
        <v>15</v>
      </c>
      <c r="H3" s="6">
        <f>22.8-2.82</f>
        <v>19.98</v>
      </c>
      <c r="I3" s="7">
        <f t="shared" si="0"/>
        <v>3.33</v>
      </c>
      <c r="J3" s="8">
        <f t="shared" si="1"/>
        <v>1.3483483483483485</v>
      </c>
      <c r="K3" s="9">
        <v>4.49</v>
      </c>
      <c r="O3" s="5" t="s">
        <v>19</v>
      </c>
    </row>
    <row r="4" spans="1:15" s="4" customFormat="1" x14ac:dyDescent="0.25">
      <c r="A4" s="4">
        <v>3</v>
      </c>
      <c r="B4" s="4" t="s">
        <v>20</v>
      </c>
      <c r="C4" s="4" t="s">
        <v>21</v>
      </c>
      <c r="D4" s="4" t="s">
        <v>22</v>
      </c>
      <c r="E4" s="5">
        <v>6</v>
      </c>
      <c r="F4" s="5"/>
      <c r="G4" s="5" t="s">
        <v>15</v>
      </c>
      <c r="H4" s="6">
        <v>24.1</v>
      </c>
      <c r="I4" s="7">
        <f t="shared" si="0"/>
        <v>4.016666666666667</v>
      </c>
      <c r="J4" s="8">
        <f t="shared" si="1"/>
        <v>1.2423236514522822</v>
      </c>
      <c r="K4" s="9">
        <v>4.99</v>
      </c>
      <c r="O4" s="5" t="s">
        <v>23</v>
      </c>
    </row>
    <row r="5" spans="1:15" s="4" customFormat="1" x14ac:dyDescent="0.25">
      <c r="A5" s="4">
        <v>4</v>
      </c>
      <c r="B5" s="4" t="s">
        <v>24</v>
      </c>
      <c r="C5" s="4" t="s">
        <v>25</v>
      </c>
      <c r="D5" s="4"/>
      <c r="E5" s="5">
        <v>12</v>
      </c>
      <c r="F5" s="5"/>
      <c r="G5" s="5" t="s">
        <v>15</v>
      </c>
      <c r="H5" s="6">
        <f>40-0.8</f>
        <v>39.2</v>
      </c>
      <c r="I5" s="9">
        <f t="shared" si="0"/>
        <v>3.266666666666667</v>
      </c>
      <c r="J5" s="8">
        <f t="shared" si="1"/>
        <v>1.2214285714285713</v>
      </c>
      <c r="K5" s="9">
        <v>3.99</v>
      </c>
      <c r="M5" s="10"/>
      <c r="N5" s="10"/>
      <c r="O5" s="5" t="s">
        <v>26</v>
      </c>
    </row>
    <row r="6" spans="1:15" s="4" customFormat="1" x14ac:dyDescent="0.25">
      <c r="A6" s="4">
        <v>5</v>
      </c>
      <c r="B6" s="4" t="s">
        <v>27</v>
      </c>
      <c r="C6" s="4" t="s">
        <v>28</v>
      </c>
      <c r="D6" s="4" t="s">
        <v>29</v>
      </c>
      <c r="E6" s="5">
        <v>80</v>
      </c>
      <c r="F6" s="5">
        <v>75</v>
      </c>
      <c r="G6" s="5" t="s">
        <v>15</v>
      </c>
      <c r="H6" s="6">
        <v>22.39</v>
      </c>
      <c r="I6" s="7">
        <f t="shared" si="0"/>
        <v>0.279875</v>
      </c>
      <c r="J6" s="8">
        <f t="shared" si="1"/>
        <v>1.42</v>
      </c>
      <c r="K6" s="9">
        <v>0.39742249999999996</v>
      </c>
      <c r="M6" s="4">
        <f>+E6-F6</f>
        <v>5</v>
      </c>
      <c r="N6" s="4">
        <f>+M6*K6</f>
        <v>1.9871124999999998</v>
      </c>
      <c r="O6" s="5" t="s">
        <v>30</v>
      </c>
    </row>
    <row r="7" spans="1:15" s="4" customFormat="1" x14ac:dyDescent="0.25">
      <c r="A7" s="4">
        <v>6</v>
      </c>
      <c r="B7" s="4" t="s">
        <v>31</v>
      </c>
      <c r="C7" s="4" t="s">
        <v>28</v>
      </c>
      <c r="D7" s="4" t="s">
        <v>29</v>
      </c>
      <c r="E7" s="5">
        <v>80</v>
      </c>
      <c r="F7" s="5">
        <v>76</v>
      </c>
      <c r="G7" s="5" t="s">
        <v>15</v>
      </c>
      <c r="H7" s="6">
        <v>22.39</v>
      </c>
      <c r="I7" s="7">
        <f t="shared" si="0"/>
        <v>0.279875</v>
      </c>
      <c r="J7" s="8">
        <f t="shared" si="1"/>
        <v>1.42</v>
      </c>
      <c r="K7" s="9">
        <v>0.39742249999999996</v>
      </c>
      <c r="M7" s="4">
        <f>+E7-F7</f>
        <v>4</v>
      </c>
      <c r="N7" s="4">
        <f>+M7*K7</f>
        <v>1.5896899999999998</v>
      </c>
      <c r="O7" s="5" t="s">
        <v>32</v>
      </c>
    </row>
    <row r="8" spans="1:15" s="11" customFormat="1" x14ac:dyDescent="0.25">
      <c r="A8" s="4">
        <v>7</v>
      </c>
      <c r="B8" s="4" t="s">
        <v>33</v>
      </c>
      <c r="C8" s="4" t="s">
        <v>34</v>
      </c>
      <c r="D8" s="4"/>
      <c r="E8" s="5">
        <v>14</v>
      </c>
      <c r="F8" s="5"/>
      <c r="G8" s="5" t="s">
        <v>15</v>
      </c>
      <c r="H8" s="6">
        <v>28</v>
      </c>
      <c r="I8" s="7">
        <f t="shared" si="0"/>
        <v>2</v>
      </c>
      <c r="J8" s="8">
        <f t="shared" si="1"/>
        <v>1.25</v>
      </c>
      <c r="K8" s="9">
        <v>2.5</v>
      </c>
      <c r="L8" s="4"/>
      <c r="O8" s="12" t="s">
        <v>35</v>
      </c>
    </row>
    <row r="9" spans="1:15" s="11" customFormat="1" x14ac:dyDescent="0.25">
      <c r="A9" s="4">
        <v>8</v>
      </c>
      <c r="B9" s="4" t="s">
        <v>33</v>
      </c>
      <c r="C9" s="4" t="s">
        <v>36</v>
      </c>
      <c r="D9" s="4" t="s">
        <v>37</v>
      </c>
      <c r="E9" s="5">
        <v>14</v>
      </c>
      <c r="F9" s="5"/>
      <c r="G9" s="5" t="s">
        <v>15</v>
      </c>
      <c r="H9" s="6">
        <v>37.8</v>
      </c>
      <c r="I9" s="7">
        <f t="shared" si="0"/>
        <v>2.6999999999999997</v>
      </c>
      <c r="J9" s="8">
        <f t="shared" ref="J9:J48" si="2">+_xlfn.PERCENTOF(K9,I9)</f>
        <v>1.1111111111111112</v>
      </c>
      <c r="K9" s="9">
        <v>3</v>
      </c>
      <c r="L9" s="4"/>
      <c r="O9" s="12" t="s">
        <v>38</v>
      </c>
    </row>
    <row r="10" spans="1:15" s="4" customFormat="1" x14ac:dyDescent="0.25">
      <c r="A10" s="4">
        <v>9</v>
      </c>
      <c r="B10" s="4" t="s">
        <v>39</v>
      </c>
      <c r="C10" s="4" t="s">
        <v>40</v>
      </c>
      <c r="D10" s="4"/>
      <c r="E10" s="5">
        <v>6</v>
      </c>
      <c r="F10" s="5"/>
      <c r="G10" s="5" t="s">
        <v>15</v>
      </c>
      <c r="H10" s="6">
        <v>33</v>
      </c>
      <c r="I10" s="5">
        <f t="shared" si="0"/>
        <v>5.5</v>
      </c>
      <c r="J10" s="8">
        <f t="shared" si="2"/>
        <v>1.1272727272727272</v>
      </c>
      <c r="K10" s="5">
        <v>6.2</v>
      </c>
      <c r="O10" s="5" t="s">
        <v>41</v>
      </c>
    </row>
    <row r="11" spans="1:15" s="4" customFormat="1" x14ac:dyDescent="0.25">
      <c r="A11" s="4">
        <v>10</v>
      </c>
      <c r="B11" s="4" t="s">
        <v>39</v>
      </c>
      <c r="C11" s="4" t="s">
        <v>42</v>
      </c>
      <c r="D11" s="4"/>
      <c r="E11" s="5">
        <v>6</v>
      </c>
      <c r="F11" s="5"/>
      <c r="G11" s="5" t="s">
        <v>15</v>
      </c>
      <c r="H11" s="6">
        <f>30.6-1.6</f>
        <v>29</v>
      </c>
      <c r="I11" s="9">
        <f t="shared" si="0"/>
        <v>4.833333333333333</v>
      </c>
      <c r="J11" s="8">
        <f t="shared" si="2"/>
        <v>1.2</v>
      </c>
      <c r="K11" s="5">
        <v>5.8</v>
      </c>
      <c r="O11" s="5" t="s">
        <v>43</v>
      </c>
    </row>
    <row r="12" spans="1:15" s="4" customFormat="1" x14ac:dyDescent="0.25">
      <c r="A12" s="4">
        <v>11</v>
      </c>
      <c r="B12" s="4" t="s">
        <v>12</v>
      </c>
      <c r="C12" s="4" t="s">
        <v>17</v>
      </c>
      <c r="D12" s="4" t="s">
        <v>44</v>
      </c>
      <c r="E12" s="5">
        <v>6</v>
      </c>
      <c r="F12" s="5"/>
      <c r="G12" s="5" t="s">
        <v>15</v>
      </c>
      <c r="H12" s="6">
        <f>16.8-1.2</f>
        <v>15.600000000000001</v>
      </c>
      <c r="I12" s="5">
        <f t="shared" si="0"/>
        <v>2.6</v>
      </c>
      <c r="J12" s="8">
        <f t="shared" si="2"/>
        <v>1.3423076923076924</v>
      </c>
      <c r="K12" s="5">
        <v>3.49</v>
      </c>
      <c r="O12" s="5" t="s">
        <v>45</v>
      </c>
    </row>
    <row r="13" spans="1:15" s="4" customFormat="1" x14ac:dyDescent="0.25">
      <c r="A13" s="4">
        <v>12</v>
      </c>
      <c r="B13" s="4" t="s">
        <v>46</v>
      </c>
      <c r="C13" s="4" t="s">
        <v>47</v>
      </c>
      <c r="D13" s="4" t="s">
        <v>48</v>
      </c>
      <c r="E13" s="5">
        <v>6</v>
      </c>
      <c r="F13" s="5"/>
      <c r="G13" s="5" t="s">
        <v>15</v>
      </c>
      <c r="H13" s="6">
        <v>18</v>
      </c>
      <c r="I13" s="5">
        <f t="shared" si="0"/>
        <v>3</v>
      </c>
      <c r="J13" s="8">
        <f t="shared" si="2"/>
        <v>1.1666666666666667</v>
      </c>
      <c r="K13" s="5">
        <v>3.5</v>
      </c>
      <c r="O13" s="5" t="s">
        <v>49</v>
      </c>
    </row>
    <row r="14" spans="1:15" s="4" customFormat="1" x14ac:dyDescent="0.25">
      <c r="A14" s="4">
        <v>13</v>
      </c>
      <c r="B14" s="4" t="s">
        <v>46</v>
      </c>
      <c r="C14" s="4" t="s">
        <v>50</v>
      </c>
      <c r="D14" s="4" t="s">
        <v>48</v>
      </c>
      <c r="E14" s="5">
        <v>6</v>
      </c>
      <c r="F14" s="5">
        <v>5</v>
      </c>
      <c r="G14" s="5" t="s">
        <v>15</v>
      </c>
      <c r="H14" s="6">
        <v>18</v>
      </c>
      <c r="I14" s="5">
        <f t="shared" si="0"/>
        <v>3</v>
      </c>
      <c r="J14" s="8">
        <f t="shared" si="2"/>
        <v>1.1666666666666667</v>
      </c>
      <c r="K14" s="5">
        <v>3.5</v>
      </c>
      <c r="M14" s="4">
        <f>+E14-F14</f>
        <v>1</v>
      </c>
      <c r="N14" s="4">
        <f>+M14*K14</f>
        <v>3.5</v>
      </c>
      <c r="O14" s="5" t="s">
        <v>51</v>
      </c>
    </row>
    <row r="15" spans="1:15" s="4" customFormat="1" x14ac:dyDescent="0.25">
      <c r="A15" s="4">
        <v>14</v>
      </c>
      <c r="B15" s="4" t="s">
        <v>12</v>
      </c>
      <c r="C15" s="4" t="s">
        <v>52</v>
      </c>
      <c r="D15" s="4" t="s">
        <v>44</v>
      </c>
      <c r="E15" s="5">
        <v>6</v>
      </c>
      <c r="F15" s="5"/>
      <c r="G15" s="5" t="s">
        <v>15</v>
      </c>
      <c r="H15" s="6">
        <f>15-0.6</f>
        <v>14.4</v>
      </c>
      <c r="I15" s="5">
        <f t="shared" si="0"/>
        <v>2.4</v>
      </c>
      <c r="J15" s="8">
        <f t="shared" si="2"/>
        <v>1.2458333333333336</v>
      </c>
      <c r="K15" s="5">
        <v>2.99</v>
      </c>
      <c r="O15" s="5" t="s">
        <v>53</v>
      </c>
    </row>
    <row r="16" spans="1:15" s="4" customFormat="1" x14ac:dyDescent="0.25">
      <c r="A16" s="4">
        <v>15</v>
      </c>
      <c r="B16" s="4" t="s">
        <v>54</v>
      </c>
      <c r="C16" s="4" t="s">
        <v>55</v>
      </c>
      <c r="D16" s="4" t="s">
        <v>56</v>
      </c>
      <c r="E16" s="5">
        <v>6</v>
      </c>
      <c r="F16" s="5"/>
      <c r="G16" s="5" t="s">
        <v>15</v>
      </c>
      <c r="H16" s="6">
        <v>30</v>
      </c>
      <c r="I16" s="5">
        <f t="shared" si="0"/>
        <v>5</v>
      </c>
      <c r="J16" s="8">
        <f t="shared" si="2"/>
        <v>1.1400000000000001</v>
      </c>
      <c r="K16" s="5">
        <v>5.7</v>
      </c>
      <c r="O16" s="5" t="s">
        <v>57</v>
      </c>
    </row>
    <row r="17" spans="1:15" s="4" customFormat="1" x14ac:dyDescent="0.25">
      <c r="A17" s="4">
        <v>16</v>
      </c>
      <c r="B17" s="4" t="s">
        <v>39</v>
      </c>
      <c r="C17" s="4" t="s">
        <v>58</v>
      </c>
      <c r="D17" s="4" t="s">
        <v>56</v>
      </c>
      <c r="E17" s="5">
        <v>6</v>
      </c>
      <c r="F17" s="5"/>
      <c r="G17" s="5" t="s">
        <v>15</v>
      </c>
      <c r="H17" s="6">
        <f>29.9-0.6</f>
        <v>29.299999999999997</v>
      </c>
      <c r="I17" s="9">
        <f t="shared" si="0"/>
        <v>4.883333333333333</v>
      </c>
      <c r="J17" s="8">
        <f t="shared" si="2"/>
        <v>1.1651877133105804</v>
      </c>
      <c r="K17" s="5">
        <v>5.69</v>
      </c>
      <c r="O17" s="5" t="s">
        <v>59</v>
      </c>
    </row>
    <row r="18" spans="1:15" s="4" customFormat="1" x14ac:dyDescent="0.25">
      <c r="A18" s="4">
        <v>17</v>
      </c>
      <c r="B18" s="4" t="s">
        <v>60</v>
      </c>
      <c r="C18" s="4" t="s">
        <v>36</v>
      </c>
      <c r="D18" s="4" t="s">
        <v>61</v>
      </c>
      <c r="E18" s="5">
        <v>12</v>
      </c>
      <c r="F18" s="5"/>
      <c r="G18" s="5" t="s">
        <v>15</v>
      </c>
      <c r="H18" s="6">
        <f>42-3.6</f>
        <v>38.4</v>
      </c>
      <c r="I18" s="5">
        <f t="shared" si="0"/>
        <v>3.1999999999999997</v>
      </c>
      <c r="J18" s="8">
        <f t="shared" si="2"/>
        <v>1.2468750000000002</v>
      </c>
      <c r="K18" s="5">
        <v>3.99</v>
      </c>
      <c r="O18" s="5" t="s">
        <v>62</v>
      </c>
    </row>
    <row r="19" spans="1:15" s="4" customFormat="1" x14ac:dyDescent="0.25">
      <c r="A19" s="4">
        <v>18</v>
      </c>
      <c r="B19" s="4" t="s">
        <v>63</v>
      </c>
      <c r="C19" s="4" t="s">
        <v>64</v>
      </c>
      <c r="D19" s="4" t="s">
        <v>65</v>
      </c>
      <c r="E19" s="5">
        <v>6</v>
      </c>
      <c r="F19" s="5"/>
      <c r="G19" s="5" t="s">
        <v>15</v>
      </c>
      <c r="H19" s="6">
        <v>8.6</v>
      </c>
      <c r="I19" s="9">
        <f t="shared" si="0"/>
        <v>1.4333333333333333</v>
      </c>
      <c r="J19" s="8">
        <f t="shared" si="2"/>
        <v>1.3883720930232557</v>
      </c>
      <c r="K19" s="5">
        <v>1.99</v>
      </c>
      <c r="O19" s="5" t="s">
        <v>66</v>
      </c>
    </row>
    <row r="20" spans="1:15" s="4" customFormat="1" x14ac:dyDescent="0.25">
      <c r="A20" s="4">
        <v>19</v>
      </c>
      <c r="B20" s="4" t="s">
        <v>67</v>
      </c>
      <c r="C20" s="4" t="s">
        <v>68</v>
      </c>
      <c r="D20" s="4"/>
      <c r="E20" s="5">
        <v>12</v>
      </c>
      <c r="F20" s="5">
        <v>11</v>
      </c>
      <c r="G20" s="5" t="s">
        <v>15</v>
      </c>
      <c r="H20" s="6">
        <f>+(31.2-6.72)</f>
        <v>24.48</v>
      </c>
      <c r="I20" s="5">
        <f t="shared" si="0"/>
        <v>2.04</v>
      </c>
      <c r="J20" s="8">
        <f t="shared" si="2"/>
        <v>1.465686274509804</v>
      </c>
      <c r="K20" s="5">
        <v>2.99</v>
      </c>
      <c r="M20" s="4">
        <f>+E20-F20</f>
        <v>1</v>
      </c>
      <c r="N20" s="4">
        <f>+M20*K20</f>
        <v>2.99</v>
      </c>
      <c r="O20" s="5" t="s">
        <v>69</v>
      </c>
    </row>
    <row r="21" spans="1:15" s="4" customFormat="1" x14ac:dyDescent="0.25">
      <c r="A21" s="4">
        <v>20</v>
      </c>
      <c r="B21" s="4" t="s">
        <v>33</v>
      </c>
      <c r="C21" s="4" t="s">
        <v>36</v>
      </c>
      <c r="D21" s="4" t="s">
        <v>37</v>
      </c>
      <c r="E21" s="5">
        <v>12</v>
      </c>
      <c r="F21" s="5">
        <v>11</v>
      </c>
      <c r="G21" s="5" t="s">
        <v>15</v>
      </c>
      <c r="H21" s="6">
        <v>25</v>
      </c>
      <c r="I21" s="9">
        <f t="shared" si="0"/>
        <v>2.0833333333333335</v>
      </c>
      <c r="J21" s="8">
        <f t="shared" si="2"/>
        <v>1.2</v>
      </c>
      <c r="K21" s="5">
        <v>2.5</v>
      </c>
      <c r="M21" s="4">
        <f>+E21-F21</f>
        <v>1</v>
      </c>
      <c r="N21" s="4">
        <f>+M21*K21</f>
        <v>2.5</v>
      </c>
      <c r="O21" s="5" t="s">
        <v>70</v>
      </c>
    </row>
    <row r="22" spans="1:15" s="4" customFormat="1" x14ac:dyDescent="0.25">
      <c r="A22" s="4">
        <v>21</v>
      </c>
      <c r="B22" s="4" t="s">
        <v>63</v>
      </c>
      <c r="C22" s="4" t="s">
        <v>71</v>
      </c>
      <c r="D22" s="4" t="s">
        <v>72</v>
      </c>
      <c r="E22" s="5">
        <v>6</v>
      </c>
      <c r="F22" s="5">
        <v>5</v>
      </c>
      <c r="G22" s="5" t="s">
        <v>15</v>
      </c>
      <c r="H22" s="6">
        <f>28.2-0.54</f>
        <v>27.66</v>
      </c>
      <c r="I22" s="5">
        <f t="shared" si="0"/>
        <v>4.61</v>
      </c>
      <c r="J22" s="8">
        <f t="shared" si="2"/>
        <v>1.1908893709327548</v>
      </c>
      <c r="K22" s="5">
        <v>5.49</v>
      </c>
      <c r="M22" s="4">
        <f>+E22-F22</f>
        <v>1</v>
      </c>
      <c r="N22" s="4">
        <f>+M22*K22</f>
        <v>5.49</v>
      </c>
      <c r="O22" s="5" t="s">
        <v>73</v>
      </c>
    </row>
    <row r="23" spans="1:15" s="4" customFormat="1" x14ac:dyDescent="0.25">
      <c r="A23" s="4">
        <v>22</v>
      </c>
      <c r="B23" s="4" t="s">
        <v>74</v>
      </c>
      <c r="C23" s="4" t="s">
        <v>50</v>
      </c>
      <c r="D23" s="4" t="s">
        <v>48</v>
      </c>
      <c r="E23" s="5">
        <v>12</v>
      </c>
      <c r="F23" s="5">
        <v>11</v>
      </c>
      <c r="G23" s="5" t="s">
        <v>15</v>
      </c>
      <c r="H23" s="6">
        <f>42-9.48</f>
        <v>32.519999999999996</v>
      </c>
      <c r="I23" s="5">
        <f t="shared" si="0"/>
        <v>2.7099999999999995</v>
      </c>
      <c r="J23" s="8">
        <f t="shared" si="2"/>
        <v>1.2509225092250926</v>
      </c>
      <c r="K23" s="5">
        <v>3.39</v>
      </c>
      <c r="M23" s="4">
        <f>+E23-F23</f>
        <v>1</v>
      </c>
      <c r="N23" s="4">
        <f>+M23*K23</f>
        <v>3.39</v>
      </c>
      <c r="O23" s="5" t="s">
        <v>75</v>
      </c>
    </row>
    <row r="24" spans="1:15" s="4" customFormat="1" x14ac:dyDescent="0.25">
      <c r="A24" s="4">
        <v>23</v>
      </c>
      <c r="B24" s="4" t="s">
        <v>74</v>
      </c>
      <c r="C24" s="4" t="s">
        <v>76</v>
      </c>
      <c r="D24" s="4" t="s">
        <v>77</v>
      </c>
      <c r="E24" s="5">
        <v>12</v>
      </c>
      <c r="F24" s="5"/>
      <c r="G24" s="5" t="s">
        <v>15</v>
      </c>
      <c r="H24" s="6">
        <f>30-6.12</f>
        <v>23.88</v>
      </c>
      <c r="I24" s="5">
        <f t="shared" si="0"/>
        <v>1.99</v>
      </c>
      <c r="J24" s="8">
        <f t="shared" si="2"/>
        <v>1.2512562814070354</v>
      </c>
      <c r="K24" s="5">
        <v>2.49</v>
      </c>
      <c r="O24" s="5" t="s">
        <v>78</v>
      </c>
    </row>
    <row r="25" spans="1:15" s="4" customFormat="1" x14ac:dyDescent="0.25">
      <c r="A25" s="4">
        <v>24</v>
      </c>
      <c r="B25" s="4" t="s">
        <v>79</v>
      </c>
      <c r="C25" s="4" t="s">
        <v>80</v>
      </c>
      <c r="D25" s="4" t="s">
        <v>72</v>
      </c>
      <c r="E25" s="5">
        <v>20</v>
      </c>
      <c r="F25" s="5">
        <v>19</v>
      </c>
      <c r="G25" s="5" t="s">
        <v>15</v>
      </c>
      <c r="H25" s="6">
        <f>13.9-2.4</f>
        <v>11.5</v>
      </c>
      <c r="I25" s="5">
        <f t="shared" si="0"/>
        <v>0.575</v>
      </c>
      <c r="J25" s="8">
        <f t="shared" si="2"/>
        <v>1.7217391304347827</v>
      </c>
      <c r="K25" s="5">
        <v>0.99</v>
      </c>
      <c r="M25" s="4">
        <f>+E25-F25</f>
        <v>1</v>
      </c>
      <c r="N25" s="4">
        <f>+M25*K25</f>
        <v>0.99</v>
      </c>
      <c r="O25" s="5" t="s">
        <v>81</v>
      </c>
    </row>
    <row r="26" spans="1:15" s="4" customFormat="1" x14ac:dyDescent="0.25">
      <c r="A26" s="4">
        <v>25</v>
      </c>
      <c r="B26" s="4" t="s">
        <v>82</v>
      </c>
      <c r="C26" s="4" t="s">
        <v>83</v>
      </c>
      <c r="D26" s="4" t="s">
        <v>72</v>
      </c>
      <c r="E26" s="5">
        <v>12</v>
      </c>
      <c r="F26" s="5">
        <v>6</v>
      </c>
      <c r="G26" s="5" t="s">
        <v>15</v>
      </c>
      <c r="H26" s="6">
        <f>28.8-9.24</f>
        <v>19.560000000000002</v>
      </c>
      <c r="I26" s="5">
        <f t="shared" si="0"/>
        <v>1.6300000000000001</v>
      </c>
      <c r="J26" s="8">
        <f t="shared" si="2"/>
        <v>1.5276073619631902</v>
      </c>
      <c r="K26" s="5">
        <v>2.49</v>
      </c>
      <c r="M26" s="4">
        <f>+E26-F26</f>
        <v>6</v>
      </c>
      <c r="N26" s="4">
        <f>+M26*K26</f>
        <v>14.940000000000001</v>
      </c>
      <c r="O26" s="5" t="s">
        <v>84</v>
      </c>
    </row>
    <row r="27" spans="1:15" s="4" customFormat="1" x14ac:dyDescent="0.25">
      <c r="A27" s="4">
        <v>26</v>
      </c>
      <c r="B27" s="4" t="s">
        <v>85</v>
      </c>
      <c r="C27" s="4" t="s">
        <v>86</v>
      </c>
      <c r="D27" s="4" t="s">
        <v>87</v>
      </c>
      <c r="E27" s="5">
        <v>8</v>
      </c>
      <c r="F27" s="5">
        <v>1</v>
      </c>
      <c r="G27" s="5" t="s">
        <v>15</v>
      </c>
      <c r="H27" s="6">
        <f>40-7.2</f>
        <v>32.8</v>
      </c>
      <c r="I27" s="5">
        <f t="shared" si="0"/>
        <v>4.1</v>
      </c>
      <c r="J27" s="8">
        <f t="shared" si="2"/>
        <v>1.2195121951219514</v>
      </c>
      <c r="K27" s="5">
        <v>5</v>
      </c>
      <c r="L27" s="4" t="s">
        <v>88</v>
      </c>
      <c r="M27" s="4">
        <f>+E27-F27</f>
        <v>7</v>
      </c>
      <c r="N27" s="4">
        <f>+M27*K27</f>
        <v>35</v>
      </c>
      <c r="O27" s="5" t="s">
        <v>89</v>
      </c>
    </row>
    <row r="28" spans="1:15" s="4" customFormat="1" x14ac:dyDescent="0.25">
      <c r="A28" s="4">
        <v>27</v>
      </c>
      <c r="B28" s="4" t="s">
        <v>90</v>
      </c>
      <c r="C28" s="4" t="s">
        <v>91</v>
      </c>
      <c r="D28" s="4" t="s">
        <v>92</v>
      </c>
      <c r="E28" s="5">
        <v>12</v>
      </c>
      <c r="F28" s="5">
        <v>11</v>
      </c>
      <c r="G28" s="5" t="s">
        <v>15</v>
      </c>
      <c r="H28" s="6">
        <f>51.6-1.2</f>
        <v>50.4</v>
      </c>
      <c r="I28" s="5">
        <f t="shared" si="0"/>
        <v>4.2</v>
      </c>
      <c r="J28" s="8">
        <f t="shared" si="2"/>
        <v>1.1166666666666667</v>
      </c>
      <c r="K28" s="5">
        <v>4.69</v>
      </c>
      <c r="M28" s="4">
        <f>+E28-F28</f>
        <v>1</v>
      </c>
      <c r="N28" s="4">
        <f>+M28*K28</f>
        <v>4.69</v>
      </c>
      <c r="O28" s="5" t="s">
        <v>93</v>
      </c>
    </row>
    <row r="29" spans="1:15" s="4" customFormat="1" x14ac:dyDescent="0.25">
      <c r="A29" s="4">
        <v>28</v>
      </c>
      <c r="B29" s="4" t="s">
        <v>79</v>
      </c>
      <c r="C29" s="4" t="s">
        <v>94</v>
      </c>
      <c r="D29" s="4" t="s">
        <v>95</v>
      </c>
      <c r="E29" s="5">
        <v>6</v>
      </c>
      <c r="F29" s="5"/>
      <c r="G29" s="5" t="s">
        <v>15</v>
      </c>
      <c r="H29" s="6">
        <f>21-1.98</f>
        <v>19.02</v>
      </c>
      <c r="I29" s="5">
        <f t="shared" si="0"/>
        <v>3.17</v>
      </c>
      <c r="J29" s="8">
        <f t="shared" si="2"/>
        <v>1.2586750788643535</v>
      </c>
      <c r="K29" s="5">
        <v>3.99</v>
      </c>
      <c r="O29" s="5" t="s">
        <v>96</v>
      </c>
    </row>
    <row r="30" spans="1:15" s="4" customFormat="1" x14ac:dyDescent="0.25">
      <c r="A30" s="4">
        <v>29</v>
      </c>
      <c r="B30" s="4" t="s">
        <v>97</v>
      </c>
      <c r="C30" s="4" t="s">
        <v>58</v>
      </c>
      <c r="D30" s="4" t="s">
        <v>92</v>
      </c>
      <c r="E30" s="5">
        <v>24</v>
      </c>
      <c r="F30" s="5">
        <v>19</v>
      </c>
      <c r="G30" s="5" t="s">
        <v>15</v>
      </c>
      <c r="H30" s="6">
        <f>96-7.92</f>
        <v>88.08</v>
      </c>
      <c r="I30" s="5">
        <f t="shared" si="0"/>
        <v>3.67</v>
      </c>
      <c r="J30" s="8">
        <f t="shared" si="2"/>
        <v>1.1416893732970028</v>
      </c>
      <c r="K30" s="5">
        <v>4.19</v>
      </c>
      <c r="M30" s="4">
        <f>+E30-F30</f>
        <v>5</v>
      </c>
      <c r="N30" s="4">
        <f>+M30*K30</f>
        <v>20.950000000000003</v>
      </c>
      <c r="O30" s="5" t="s">
        <v>98</v>
      </c>
    </row>
    <row r="31" spans="1:15" s="4" customFormat="1" x14ac:dyDescent="0.25">
      <c r="A31" s="4">
        <v>30</v>
      </c>
      <c r="B31" s="4" t="s">
        <v>85</v>
      </c>
      <c r="C31" s="4" t="s">
        <v>86</v>
      </c>
      <c r="D31" s="4" t="s">
        <v>99</v>
      </c>
      <c r="E31" s="5">
        <v>10</v>
      </c>
      <c r="F31" s="5">
        <v>10</v>
      </c>
      <c r="G31" s="5" t="s">
        <v>15</v>
      </c>
      <c r="H31" s="6">
        <f>15-1.8</f>
        <v>13.2</v>
      </c>
      <c r="I31" s="5">
        <f t="shared" si="0"/>
        <v>1.3199999999999998</v>
      </c>
      <c r="J31" s="8">
        <f t="shared" si="2"/>
        <v>1.5151515151515154</v>
      </c>
      <c r="K31" s="5">
        <v>2</v>
      </c>
      <c r="M31" s="4">
        <f>+E31-F31</f>
        <v>0</v>
      </c>
      <c r="N31" s="4">
        <f>+M31*K31</f>
        <v>0</v>
      </c>
      <c r="O31" s="5" t="s">
        <v>100</v>
      </c>
    </row>
    <row r="32" spans="1:15" s="4" customFormat="1" x14ac:dyDescent="0.25">
      <c r="A32" s="4">
        <v>31</v>
      </c>
      <c r="B32" s="4" t="s">
        <v>74</v>
      </c>
      <c r="C32" s="4" t="s">
        <v>76</v>
      </c>
      <c r="D32" s="4" t="s">
        <v>101</v>
      </c>
      <c r="E32" s="5">
        <v>4</v>
      </c>
      <c r="F32" s="5"/>
      <c r="G32" s="5" t="s">
        <v>15</v>
      </c>
      <c r="H32" s="6">
        <f>32-5.68</f>
        <v>26.32</v>
      </c>
      <c r="I32" s="5">
        <f t="shared" si="0"/>
        <v>6.58</v>
      </c>
      <c r="J32" s="8">
        <f t="shared" si="2"/>
        <v>1.2917933130699089</v>
      </c>
      <c r="K32" s="5">
        <v>8.5</v>
      </c>
      <c r="O32" s="5" t="s">
        <v>102</v>
      </c>
    </row>
    <row r="33" spans="1:15" s="4" customFormat="1" x14ac:dyDescent="0.25">
      <c r="A33" s="4">
        <v>32</v>
      </c>
      <c r="B33" s="4" t="s">
        <v>74</v>
      </c>
      <c r="C33" s="4" t="s">
        <v>47</v>
      </c>
      <c r="D33" s="4" t="s">
        <v>101</v>
      </c>
      <c r="E33" s="5">
        <v>4</v>
      </c>
      <c r="F33" s="5"/>
      <c r="G33" s="5" t="s">
        <v>15</v>
      </c>
      <c r="H33" s="6">
        <f>48.4-3.36</f>
        <v>45.04</v>
      </c>
      <c r="I33" s="5">
        <f t="shared" si="0"/>
        <v>11.26</v>
      </c>
      <c r="J33" s="8">
        <f t="shared" si="2"/>
        <v>1.1101243339253997</v>
      </c>
      <c r="K33" s="5">
        <v>12.5</v>
      </c>
      <c r="O33" s="5" t="s">
        <v>103</v>
      </c>
    </row>
    <row r="34" spans="1:15" s="4" customFormat="1" x14ac:dyDescent="0.25">
      <c r="A34" s="4">
        <v>33</v>
      </c>
      <c r="B34" s="4" t="s">
        <v>79</v>
      </c>
      <c r="C34" s="4" t="s">
        <v>80</v>
      </c>
      <c r="D34" s="4" t="s">
        <v>101</v>
      </c>
      <c r="E34" s="5">
        <v>4</v>
      </c>
      <c r="F34" s="5"/>
      <c r="G34" s="5" t="s">
        <v>15</v>
      </c>
      <c r="H34" s="6">
        <f>12-3.08</f>
        <v>8.92</v>
      </c>
      <c r="I34" s="5">
        <f t="shared" si="0"/>
        <v>2.23</v>
      </c>
      <c r="J34" s="8">
        <f t="shared" si="2"/>
        <v>1.345291479820628</v>
      </c>
      <c r="K34" s="5">
        <v>3</v>
      </c>
      <c r="O34" s="5" t="s">
        <v>104</v>
      </c>
    </row>
    <row r="35" spans="1:15" s="4" customFormat="1" x14ac:dyDescent="0.25">
      <c r="A35" s="4">
        <v>34</v>
      </c>
      <c r="B35" s="4" t="s">
        <v>105</v>
      </c>
      <c r="C35" s="4" t="s">
        <v>106</v>
      </c>
      <c r="D35" s="4" t="s">
        <v>107</v>
      </c>
      <c r="E35" s="5">
        <v>25</v>
      </c>
      <c r="F35" s="5">
        <v>5</v>
      </c>
      <c r="G35" s="5" t="s">
        <v>15</v>
      </c>
      <c r="H35" s="6">
        <f>109.9-5.4</f>
        <v>104.5</v>
      </c>
      <c r="I35" s="5">
        <f t="shared" si="0"/>
        <v>4.18</v>
      </c>
      <c r="J35" s="8">
        <f t="shared" si="2"/>
        <v>1.1483253588516746</v>
      </c>
      <c r="K35" s="5">
        <v>4.8</v>
      </c>
      <c r="L35" s="4" t="s">
        <v>88</v>
      </c>
      <c r="M35" s="4">
        <f>+E35-F35</f>
        <v>20</v>
      </c>
      <c r="N35" s="4">
        <f>+M35*K35</f>
        <v>96</v>
      </c>
      <c r="O35" s="5" t="s">
        <v>108</v>
      </c>
    </row>
    <row r="36" spans="1:15" s="4" customFormat="1" x14ac:dyDescent="0.25">
      <c r="A36" s="4">
        <v>35</v>
      </c>
      <c r="B36" s="4" t="s">
        <v>109</v>
      </c>
      <c r="C36" s="4" t="s">
        <v>110</v>
      </c>
      <c r="D36" s="4"/>
      <c r="E36" s="5">
        <v>25</v>
      </c>
      <c r="F36" s="5">
        <v>12</v>
      </c>
      <c r="G36" s="5" t="s">
        <v>15</v>
      </c>
      <c r="H36" s="6">
        <f>56-2.84</f>
        <v>53.16</v>
      </c>
      <c r="I36" s="5">
        <f t="shared" si="0"/>
        <v>2.1264</v>
      </c>
      <c r="J36" s="8">
        <f t="shared" si="2"/>
        <v>1.645974416854778</v>
      </c>
      <c r="K36" s="5">
        <v>3.5</v>
      </c>
      <c r="L36" s="4" t="s">
        <v>88</v>
      </c>
      <c r="M36" s="4">
        <f>+E36-F36</f>
        <v>13</v>
      </c>
      <c r="N36" s="4">
        <f>+M36*K36</f>
        <v>45.5</v>
      </c>
      <c r="O36" s="5" t="s">
        <v>111</v>
      </c>
    </row>
    <row r="37" spans="1:15" s="4" customFormat="1" x14ac:dyDescent="0.25">
      <c r="A37" s="4">
        <v>36</v>
      </c>
      <c r="B37" s="4" t="s">
        <v>112</v>
      </c>
      <c r="C37" s="4" t="s">
        <v>113</v>
      </c>
      <c r="D37" s="4" t="s">
        <v>114</v>
      </c>
      <c r="E37" s="5">
        <v>12</v>
      </c>
      <c r="F37" s="5">
        <v>11</v>
      </c>
      <c r="G37" s="5" t="s">
        <v>15</v>
      </c>
      <c r="H37" s="6">
        <f>34.8-2.76</f>
        <v>32.04</v>
      </c>
      <c r="I37" s="5">
        <f t="shared" si="0"/>
        <v>2.67</v>
      </c>
      <c r="J37" s="8">
        <f t="shared" si="2"/>
        <v>1.3108614232209739</v>
      </c>
      <c r="K37" s="5">
        <v>3.5</v>
      </c>
      <c r="M37" s="4">
        <f>+E37-F37</f>
        <v>1</v>
      </c>
      <c r="N37" s="4">
        <f>+M37*K37</f>
        <v>3.5</v>
      </c>
      <c r="O37" s="5" t="s">
        <v>115</v>
      </c>
    </row>
    <row r="38" spans="1:15" s="4" customFormat="1" x14ac:dyDescent="0.25">
      <c r="A38" s="4">
        <v>37</v>
      </c>
      <c r="B38" s="4" t="s">
        <v>46</v>
      </c>
      <c r="C38" s="4" t="s">
        <v>47</v>
      </c>
      <c r="D38" s="4" t="s">
        <v>116</v>
      </c>
      <c r="E38" s="5">
        <v>6</v>
      </c>
      <c r="F38" s="5">
        <v>3</v>
      </c>
      <c r="G38" s="5" t="s">
        <v>15</v>
      </c>
      <c r="H38" s="6">
        <v>7.49</v>
      </c>
      <c r="I38" s="9">
        <f t="shared" si="0"/>
        <v>1.2483333333333333</v>
      </c>
      <c r="J38" s="8">
        <f t="shared" si="2"/>
        <v>1.5941255006675568</v>
      </c>
      <c r="K38" s="5">
        <v>1.99</v>
      </c>
      <c r="M38" s="4">
        <f>+E38-F38</f>
        <v>3</v>
      </c>
      <c r="N38" s="4">
        <f>+M38*K38</f>
        <v>5.97</v>
      </c>
      <c r="O38" s="5" t="s">
        <v>117</v>
      </c>
    </row>
    <row r="39" spans="1:15" s="4" customFormat="1" x14ac:dyDescent="0.25">
      <c r="A39" s="4">
        <v>38</v>
      </c>
      <c r="B39" s="4" t="s">
        <v>82</v>
      </c>
      <c r="C39" s="4" t="s">
        <v>83</v>
      </c>
      <c r="D39" s="4" t="s">
        <v>118</v>
      </c>
      <c r="E39" s="5">
        <v>6</v>
      </c>
      <c r="F39" s="5"/>
      <c r="G39" s="5"/>
      <c r="H39" s="6">
        <f>27-3.12</f>
        <v>23.88</v>
      </c>
      <c r="I39" s="5">
        <f t="shared" si="0"/>
        <v>3.98</v>
      </c>
      <c r="J39" s="8">
        <f t="shared" si="2"/>
        <v>1.3793969849246233</v>
      </c>
      <c r="K39" s="5">
        <v>5.49</v>
      </c>
      <c r="O39" s="5" t="s">
        <v>119</v>
      </c>
    </row>
    <row r="40" spans="1:15" s="4" customFormat="1" x14ac:dyDescent="0.25">
      <c r="A40" s="4">
        <v>39</v>
      </c>
      <c r="B40" s="4" t="s">
        <v>74</v>
      </c>
      <c r="C40" s="4" t="s">
        <v>50</v>
      </c>
      <c r="D40" s="4" t="s">
        <v>101</v>
      </c>
      <c r="E40" s="5">
        <v>4</v>
      </c>
      <c r="F40" s="5"/>
      <c r="G40" s="5" t="s">
        <v>15</v>
      </c>
      <c r="H40" s="6">
        <f>48.4-3.36</f>
        <v>45.04</v>
      </c>
      <c r="I40" s="5">
        <f t="shared" si="0"/>
        <v>11.26</v>
      </c>
      <c r="J40" s="8">
        <f t="shared" si="2"/>
        <v>1.1101243339253997</v>
      </c>
      <c r="K40" s="5">
        <v>12.5</v>
      </c>
      <c r="O40" s="5" t="s">
        <v>120</v>
      </c>
    </row>
    <row r="41" spans="1:15" s="4" customFormat="1" x14ac:dyDescent="0.25">
      <c r="A41" s="4">
        <v>40</v>
      </c>
      <c r="B41" s="4" t="s">
        <v>112</v>
      </c>
      <c r="C41" s="4" t="s">
        <v>113</v>
      </c>
      <c r="D41" s="4" t="s">
        <v>121</v>
      </c>
      <c r="E41" s="5">
        <v>12</v>
      </c>
      <c r="F41" s="5">
        <v>8</v>
      </c>
      <c r="G41" s="5" t="s">
        <v>15</v>
      </c>
      <c r="H41" s="6">
        <f>34.8-2.76</f>
        <v>32.04</v>
      </c>
      <c r="I41" s="5">
        <f t="shared" si="0"/>
        <v>2.67</v>
      </c>
      <c r="J41" s="8">
        <f t="shared" si="2"/>
        <v>1.3108614232209739</v>
      </c>
      <c r="K41" s="5">
        <v>3.5</v>
      </c>
      <c r="M41" s="4">
        <f>+E41-F41</f>
        <v>4</v>
      </c>
      <c r="N41" s="4">
        <f>+M41*K41</f>
        <v>14</v>
      </c>
      <c r="O41" s="5" t="s">
        <v>122</v>
      </c>
    </row>
    <row r="42" spans="1:15" s="4" customFormat="1" x14ac:dyDescent="0.25">
      <c r="A42" s="4">
        <v>41</v>
      </c>
      <c r="B42" s="4" t="s">
        <v>74</v>
      </c>
      <c r="C42" s="4" t="s">
        <v>123</v>
      </c>
      <c r="D42" s="4" t="s">
        <v>118</v>
      </c>
      <c r="E42" s="5">
        <v>6</v>
      </c>
      <c r="F42" s="5">
        <v>5</v>
      </c>
      <c r="G42" s="5" t="s">
        <v>15</v>
      </c>
      <c r="H42" s="6">
        <v>39</v>
      </c>
      <c r="I42" s="5">
        <f>+H42/E42</f>
        <v>6.5</v>
      </c>
      <c r="J42" s="8">
        <f t="shared" si="2"/>
        <v>1.1538461538461537</v>
      </c>
      <c r="K42" s="5">
        <v>7.5</v>
      </c>
      <c r="M42" s="4">
        <f>+E42-F42</f>
        <v>1</v>
      </c>
      <c r="N42" s="4">
        <f>+M42*K42</f>
        <v>7.5</v>
      </c>
      <c r="O42" s="5" t="s">
        <v>124</v>
      </c>
    </row>
    <row r="43" spans="1:15" s="4" customFormat="1" x14ac:dyDescent="0.25">
      <c r="A43" s="4">
        <v>42</v>
      </c>
      <c r="B43" s="4" t="s">
        <v>60</v>
      </c>
      <c r="C43" s="4" t="s">
        <v>125</v>
      </c>
      <c r="D43" s="4" t="s">
        <v>126</v>
      </c>
      <c r="E43" s="5">
        <v>6</v>
      </c>
      <c r="F43" s="5"/>
      <c r="G43" s="5" t="s">
        <v>15</v>
      </c>
      <c r="H43" s="6">
        <v>24</v>
      </c>
      <c r="I43" s="5">
        <f t="shared" ref="I43:I49" si="3">+H43/E43</f>
        <v>4</v>
      </c>
      <c r="J43" s="8">
        <f t="shared" si="2"/>
        <v>1.5</v>
      </c>
      <c r="K43" s="5">
        <v>6</v>
      </c>
      <c r="O43" s="5" t="s">
        <v>127</v>
      </c>
    </row>
    <row r="44" spans="1:15" s="4" customFormat="1" x14ac:dyDescent="0.25">
      <c r="A44" s="4">
        <v>43</v>
      </c>
      <c r="B44" s="4" t="s">
        <v>128</v>
      </c>
      <c r="C44" s="4" t="s">
        <v>129</v>
      </c>
      <c r="D44" s="4" t="s">
        <v>130</v>
      </c>
      <c r="E44" s="5">
        <v>6</v>
      </c>
      <c r="F44" s="5">
        <v>5</v>
      </c>
      <c r="G44" s="5" t="s">
        <v>15</v>
      </c>
      <c r="H44" s="6">
        <v>43.2</v>
      </c>
      <c r="I44" s="5">
        <f t="shared" si="3"/>
        <v>7.2</v>
      </c>
      <c r="J44" s="8">
        <f t="shared" si="2"/>
        <v>1.1805555555555556</v>
      </c>
      <c r="K44" s="5">
        <v>8.5</v>
      </c>
      <c r="L44" s="4" t="s">
        <v>88</v>
      </c>
      <c r="M44" s="4">
        <f>+E44-F44</f>
        <v>1</v>
      </c>
      <c r="N44" s="4">
        <f>+M44*K44</f>
        <v>8.5</v>
      </c>
      <c r="O44" s="5" t="s">
        <v>131</v>
      </c>
    </row>
    <row r="45" spans="1:15" s="4" customFormat="1" x14ac:dyDescent="0.25">
      <c r="A45" s="4">
        <v>44</v>
      </c>
      <c r="B45" s="4" t="s">
        <v>132</v>
      </c>
      <c r="C45" s="4" t="s">
        <v>133</v>
      </c>
      <c r="D45" s="4" t="s">
        <v>134</v>
      </c>
      <c r="E45" s="5">
        <v>100</v>
      </c>
      <c r="F45" s="5"/>
      <c r="G45" s="5" t="s">
        <v>15</v>
      </c>
      <c r="H45" s="6">
        <v>4.5</v>
      </c>
      <c r="I45" s="5">
        <f t="shared" si="3"/>
        <v>0.045</v>
      </c>
      <c r="J45" s="8">
        <f t="shared" si="2"/>
        <v>4.444444444444445</v>
      </c>
      <c r="K45" s="5">
        <v>0.2</v>
      </c>
      <c r="O45" s="5" t="s">
        <v>135</v>
      </c>
    </row>
    <row r="46" spans="1:15" s="4" customFormat="1" x14ac:dyDescent="0.25">
      <c r="A46" s="4">
        <v>45</v>
      </c>
      <c r="B46" s="4" t="s">
        <v>136</v>
      </c>
      <c r="C46" s="4" t="s">
        <v>137</v>
      </c>
      <c r="D46" s="4" t="s">
        <v>138</v>
      </c>
      <c r="E46" s="5">
        <v>6</v>
      </c>
      <c r="F46" s="5">
        <v>5</v>
      </c>
      <c r="G46" s="5" t="s">
        <v>15</v>
      </c>
      <c r="H46" s="6">
        <v>9.6</v>
      </c>
      <c r="I46" s="5">
        <f t="shared" si="3"/>
        <v>1.5999999999999999</v>
      </c>
      <c r="J46" s="8">
        <f t="shared" si="2"/>
        <v>1.25</v>
      </c>
      <c r="K46" s="5">
        <v>2</v>
      </c>
      <c r="M46" s="4">
        <f>+E46-F46</f>
        <v>1</v>
      </c>
      <c r="N46" s="4">
        <f>+M46*K46</f>
        <v>2</v>
      </c>
      <c r="O46" s="5" t="s">
        <v>139</v>
      </c>
    </row>
    <row r="47" spans="1:15" s="4" customFormat="1" x14ac:dyDescent="0.25">
      <c r="A47" s="4">
        <v>46</v>
      </c>
      <c r="B47" s="4" t="s">
        <v>140</v>
      </c>
      <c r="C47" s="4" t="s">
        <v>141</v>
      </c>
      <c r="D47" s="4" t="s">
        <v>29</v>
      </c>
      <c r="E47" s="5">
        <v>16</v>
      </c>
      <c r="F47" s="5"/>
      <c r="G47" s="5" t="s">
        <v>15</v>
      </c>
      <c r="H47" s="6">
        <v>19.8</v>
      </c>
      <c r="I47" s="5">
        <f t="shared" si="3"/>
        <v>1.2375</v>
      </c>
      <c r="J47" s="8">
        <f t="shared" si="2"/>
        <v>1.4545454545454546</v>
      </c>
      <c r="K47" s="5">
        <v>1.8</v>
      </c>
      <c r="O47" s="5" t="s">
        <v>142</v>
      </c>
    </row>
    <row r="48" spans="1:15" s="4" customFormat="1" x14ac:dyDescent="0.25">
      <c r="A48" s="4">
        <v>47</v>
      </c>
      <c r="B48" s="4" t="s">
        <v>143</v>
      </c>
      <c r="C48" s="4" t="s">
        <v>144</v>
      </c>
      <c r="D48" s="4" t="s">
        <v>145</v>
      </c>
      <c r="E48" s="5">
        <v>20</v>
      </c>
      <c r="F48" s="5">
        <v>19</v>
      </c>
      <c r="G48" s="5" t="s">
        <v>15</v>
      </c>
      <c r="H48" s="6">
        <v>17</v>
      </c>
      <c r="I48" s="5">
        <f t="shared" si="3"/>
        <v>0.85</v>
      </c>
      <c r="J48" s="8">
        <f t="shared" si="2"/>
        <v>1.411764705882353</v>
      </c>
      <c r="K48" s="5">
        <v>1.2</v>
      </c>
      <c r="M48" s="4">
        <f>+E48-F48</f>
        <v>1</v>
      </c>
      <c r="N48" s="4">
        <f>+M48*K48</f>
        <v>1.2</v>
      </c>
      <c r="O48" s="5" t="s">
        <v>146</v>
      </c>
    </row>
    <row r="49" spans="1:15" s="4" customFormat="1" x14ac:dyDescent="0.25">
      <c r="A49" s="4">
        <v>48</v>
      </c>
      <c r="B49" s="4" t="s">
        <v>105</v>
      </c>
      <c r="C49" s="4" t="s">
        <v>106</v>
      </c>
      <c r="D49" s="4" t="s">
        <v>107</v>
      </c>
      <c r="E49" s="5">
        <v>50</v>
      </c>
      <c r="F49" s="5">
        <v>40</v>
      </c>
      <c r="G49" s="5" t="s">
        <v>15</v>
      </c>
      <c r="H49" s="6">
        <f>212.9-13.9</f>
        <v>199</v>
      </c>
      <c r="I49" s="5">
        <f t="shared" si="3"/>
        <v>3.98</v>
      </c>
      <c r="J49" s="8">
        <f t="shared" ref="J49:J57" si="4">+_xlfn.PERCENTOF(K49,I49)</f>
        <v>1.2060301507537687</v>
      </c>
      <c r="K49" s="5">
        <v>4.8</v>
      </c>
      <c r="M49" s="4">
        <f>+E49-F49</f>
        <v>10</v>
      </c>
      <c r="N49" s="4">
        <f>+M49*K49</f>
        <v>48</v>
      </c>
      <c r="O49" s="5" t="s">
        <v>108</v>
      </c>
    </row>
    <row r="50" spans="1:15" s="4" customFormat="1" x14ac:dyDescent="0.25">
      <c r="A50" s="4">
        <v>49</v>
      </c>
      <c r="B50" s="4" t="s">
        <v>109</v>
      </c>
      <c r="C50" s="4" t="s">
        <v>110</v>
      </c>
      <c r="D50" s="4"/>
      <c r="E50" s="5">
        <v>25</v>
      </c>
      <c r="F50" s="5"/>
      <c r="G50" s="5" t="s">
        <v>15</v>
      </c>
      <c r="H50" s="6">
        <v>57.7</v>
      </c>
      <c r="I50" s="5">
        <f t="shared" ref="I50:I57" si="5">+H50/E50</f>
        <v>2.3080000000000003</v>
      </c>
      <c r="J50" s="8">
        <f t="shared" si="4"/>
        <v>1.5164644714038127</v>
      </c>
      <c r="K50" s="5">
        <v>3.5</v>
      </c>
      <c r="O50" s="5" t="s">
        <v>111</v>
      </c>
    </row>
    <row r="51" spans="1:15" s="4" customFormat="1" x14ac:dyDescent="0.25">
      <c r="A51" s="4">
        <v>50</v>
      </c>
      <c r="B51" s="4" t="s">
        <v>85</v>
      </c>
      <c r="C51" s="4" t="s">
        <v>86</v>
      </c>
      <c r="D51" s="4" t="s">
        <v>87</v>
      </c>
      <c r="E51" s="5">
        <v>16</v>
      </c>
      <c r="F51" s="5"/>
      <c r="G51" s="5" t="s">
        <v>15</v>
      </c>
      <c r="H51" s="6">
        <f>80-14.4</f>
        <v>65.6</v>
      </c>
      <c r="I51" s="5">
        <f t="shared" si="5"/>
        <v>4.1</v>
      </c>
      <c r="J51" s="8">
        <f t="shared" si="4"/>
        <v>1.2195121951219514</v>
      </c>
      <c r="K51" s="5">
        <v>5</v>
      </c>
      <c r="O51" s="5" t="s">
        <v>89</v>
      </c>
    </row>
    <row r="52" spans="1:15" s="4" customFormat="1" x14ac:dyDescent="0.25">
      <c r="A52" s="4">
        <v>51</v>
      </c>
      <c r="B52" s="4" t="s">
        <v>147</v>
      </c>
      <c r="C52" s="4" t="s">
        <v>148</v>
      </c>
      <c r="D52" s="4" t="s">
        <v>149</v>
      </c>
      <c r="E52" s="5">
        <v>2</v>
      </c>
      <c r="F52" s="5"/>
      <c r="G52" s="5" t="s">
        <v>15</v>
      </c>
      <c r="H52" s="6">
        <v>3.4</v>
      </c>
      <c r="I52" s="5">
        <f t="shared" si="5"/>
        <v>1.7</v>
      </c>
      <c r="J52" s="8">
        <f t="shared" si="4"/>
        <v>1.2941176470588236</v>
      </c>
      <c r="K52" s="5">
        <v>2.2</v>
      </c>
      <c r="O52" s="5" t="s">
        <v>150</v>
      </c>
    </row>
    <row r="53" spans="1:15" s="4" customFormat="1" x14ac:dyDescent="0.25">
      <c r="A53" s="4">
        <v>52</v>
      </c>
      <c r="B53" s="4" t="s">
        <v>147</v>
      </c>
      <c r="C53" s="4" t="s">
        <v>148</v>
      </c>
      <c r="D53" s="4" t="s">
        <v>151</v>
      </c>
      <c r="E53" s="5">
        <v>2</v>
      </c>
      <c r="F53" s="5"/>
      <c r="G53" s="5" t="s">
        <v>15</v>
      </c>
      <c r="H53" s="6">
        <v>4.6</v>
      </c>
      <c r="I53" s="5">
        <f t="shared" si="5"/>
        <v>2.3</v>
      </c>
      <c r="J53" s="8">
        <f t="shared" si="4"/>
        <v>1.2173913043478262</v>
      </c>
      <c r="K53" s="5">
        <v>2.8</v>
      </c>
      <c r="O53" s="5" t="s">
        <v>152</v>
      </c>
    </row>
    <row r="54" spans="1:15" s="4" customFormat="1" x14ac:dyDescent="0.25">
      <c r="A54" s="4">
        <v>53</v>
      </c>
      <c r="B54" s="4" t="s">
        <v>147</v>
      </c>
      <c r="C54" s="4" t="s">
        <v>148</v>
      </c>
      <c r="D54" s="4" t="s">
        <v>153</v>
      </c>
      <c r="E54" s="5">
        <v>2</v>
      </c>
      <c r="F54" s="5"/>
      <c r="G54" s="5" t="s">
        <v>15</v>
      </c>
      <c r="H54" s="6">
        <f>3.4-0.1</f>
        <v>3.3</v>
      </c>
      <c r="I54" s="5">
        <f t="shared" si="5"/>
        <v>1.65</v>
      </c>
      <c r="J54" s="8">
        <f t="shared" si="4"/>
        <v>1.3333333333333335</v>
      </c>
      <c r="K54" s="5">
        <v>2.2</v>
      </c>
      <c r="O54" s="5" t="s">
        <v>154</v>
      </c>
    </row>
    <row r="55" spans="1:15" s="4" customFormat="1" x14ac:dyDescent="0.25">
      <c r="A55" s="4">
        <v>53</v>
      </c>
      <c r="B55" s="4" t="s">
        <v>147</v>
      </c>
      <c r="C55" s="4" t="s">
        <v>148</v>
      </c>
      <c r="D55" s="4" t="s">
        <v>155</v>
      </c>
      <c r="E55" s="5">
        <v>2</v>
      </c>
      <c r="F55" s="5">
        <v>1</v>
      </c>
      <c r="G55" s="5" t="s">
        <v>15</v>
      </c>
      <c r="H55" s="6">
        <f>3.4-0.1</f>
        <v>3.3</v>
      </c>
      <c r="I55" s="5">
        <f t="shared" si="5"/>
        <v>1.65</v>
      </c>
      <c r="J55" s="8">
        <f t="shared" si="4"/>
        <v>1.3333333333333335</v>
      </c>
      <c r="K55" s="5">
        <v>2.2</v>
      </c>
      <c r="M55" s="4">
        <f>+E55-F55</f>
        <v>1</v>
      </c>
      <c r="N55" s="4">
        <f>+M55*K55</f>
        <v>2.2</v>
      </c>
      <c r="O55" s="5" t="s">
        <v>156</v>
      </c>
    </row>
    <row r="56" spans="1:15" s="4" customFormat="1" x14ac:dyDescent="0.25">
      <c r="A56" s="4">
        <v>54</v>
      </c>
      <c r="B56" s="4" t="s">
        <v>157</v>
      </c>
      <c r="C56" s="4" t="s">
        <v>148</v>
      </c>
      <c r="D56" s="4" t="s">
        <v>158</v>
      </c>
      <c r="E56" s="5">
        <v>2</v>
      </c>
      <c r="F56" s="5">
        <v>1</v>
      </c>
      <c r="G56" s="5" t="s">
        <v>15</v>
      </c>
      <c r="H56" s="6">
        <f>6.4-0.32</f>
        <v>6.08</v>
      </c>
      <c r="I56" s="5">
        <f t="shared" si="5"/>
        <v>3.04</v>
      </c>
      <c r="J56" s="8">
        <f t="shared" si="4"/>
        <v>1.1513157894736843</v>
      </c>
      <c r="K56" s="5">
        <v>3.5</v>
      </c>
      <c r="M56" s="4">
        <f>+E56-F56</f>
        <v>1</v>
      </c>
      <c r="N56" s="4">
        <f>+M56*K56</f>
        <v>3.5</v>
      </c>
      <c r="O56" s="5" t="s">
        <v>159</v>
      </c>
    </row>
    <row r="57" spans="1:15" s="4" customFormat="1" x14ac:dyDescent="0.25">
      <c r="A57" s="4">
        <v>55</v>
      </c>
      <c r="B57" s="4" t="s">
        <v>157</v>
      </c>
      <c r="C57" s="4" t="s">
        <v>148</v>
      </c>
      <c r="D57" s="4" t="s">
        <v>160</v>
      </c>
      <c r="E57" s="5">
        <v>4</v>
      </c>
      <c r="F57" s="5"/>
      <c r="G57" s="5" t="s">
        <v>15</v>
      </c>
      <c r="H57" s="6">
        <f>12.8-0.64</f>
        <v>12.16</v>
      </c>
      <c r="I57" s="5">
        <f t="shared" si="5"/>
        <v>3.04</v>
      </c>
      <c r="J57" s="8">
        <f t="shared" si="4"/>
        <v>1.1513157894736843</v>
      </c>
      <c r="K57" s="5">
        <v>3.5</v>
      </c>
      <c r="O57" s="5" t="s">
        <v>161</v>
      </c>
    </row>
    <row r="58" spans="1:15" s="4" customFormat="1" x14ac:dyDescent="0.25">
      <c r="A58" s="4">
        <v>56</v>
      </c>
      <c r="B58" s="4" t="s">
        <v>157</v>
      </c>
      <c r="C58" s="4" t="s">
        <v>148</v>
      </c>
      <c r="D58" s="4" t="s">
        <v>155</v>
      </c>
      <c r="E58" s="5">
        <v>2</v>
      </c>
      <c r="F58" s="5"/>
      <c r="G58" s="5" t="s">
        <v>15</v>
      </c>
      <c r="H58" s="6">
        <f>6.4-0.32</f>
        <v>6.08</v>
      </c>
      <c r="I58" s="5">
        <f t="shared" ref="I58:I65" si="6">+H58/E58</f>
        <v>3.04</v>
      </c>
      <c r="J58" s="8">
        <f t="shared" ref="J58:J65" si="7">+_xlfn.PERCENTOF(K58,I58)</f>
        <v>1.1513157894736843</v>
      </c>
      <c r="K58" s="5">
        <v>3.5</v>
      </c>
      <c r="O58" s="5" t="s">
        <v>159</v>
      </c>
    </row>
    <row r="59" spans="1:15" s="4" customFormat="1" x14ac:dyDescent="0.25">
      <c r="A59" s="4">
        <v>57</v>
      </c>
      <c r="B59" s="4" t="s">
        <v>157</v>
      </c>
      <c r="C59" s="4" t="s">
        <v>148</v>
      </c>
      <c r="D59" s="4" t="s">
        <v>149</v>
      </c>
      <c r="E59" s="5">
        <v>2</v>
      </c>
      <c r="F59" s="5"/>
      <c r="G59" s="5" t="s">
        <v>15</v>
      </c>
      <c r="H59" s="6">
        <f>6.4-0.32</f>
        <v>6.08</v>
      </c>
      <c r="I59" s="5">
        <f>+H59/E59</f>
        <v>3.04</v>
      </c>
      <c r="J59" s="8">
        <f>+_xlfn.PERCENTOF(K59,I59)</f>
        <v>1.1513157894736843</v>
      </c>
      <c r="K59" s="5">
        <v>3.5</v>
      </c>
      <c r="O59" s="5" t="s">
        <v>162</v>
      </c>
    </row>
    <row r="60" spans="1:15" s="4" customFormat="1" x14ac:dyDescent="0.25">
      <c r="A60" s="4">
        <v>58</v>
      </c>
      <c r="B60" s="4" t="s">
        <v>163</v>
      </c>
      <c r="C60" s="4" t="s">
        <v>164</v>
      </c>
      <c r="D60" s="4" t="s">
        <v>18</v>
      </c>
      <c r="E60" s="5">
        <v>3</v>
      </c>
      <c r="F60" s="5"/>
      <c r="G60" s="5" t="s">
        <v>15</v>
      </c>
      <c r="H60" s="6">
        <f>4.5-0.3</f>
        <v>4.2</v>
      </c>
      <c r="I60" s="5">
        <f t="shared" si="6"/>
        <v>1.4000000000000001</v>
      </c>
      <c r="J60" s="8">
        <f t="shared" si="7"/>
        <v>1.4285714285714284</v>
      </c>
      <c r="K60" s="5">
        <v>2</v>
      </c>
      <c r="O60" s="5" t="s">
        <v>165</v>
      </c>
    </row>
    <row r="61" spans="1:15" s="4" customFormat="1" x14ac:dyDescent="0.25">
      <c r="A61" s="4">
        <v>59</v>
      </c>
      <c r="B61" s="4" t="s">
        <v>163</v>
      </c>
      <c r="C61" s="4" t="s">
        <v>166</v>
      </c>
      <c r="D61" s="4" t="s">
        <v>167</v>
      </c>
      <c r="E61" s="5">
        <v>3</v>
      </c>
      <c r="F61" s="5"/>
      <c r="G61" s="5" t="s">
        <v>15</v>
      </c>
      <c r="H61" s="6">
        <v>9.3</v>
      </c>
      <c r="I61" s="5">
        <f>+H61/E61</f>
        <v>3.1</v>
      </c>
      <c r="J61" s="8">
        <f>+_xlfn.PERCENTOF(K61,I61)</f>
        <v>1.1612903225806452</v>
      </c>
      <c r="K61" s="5">
        <v>3.6</v>
      </c>
      <c r="O61" s="5" t="s">
        <v>168</v>
      </c>
    </row>
    <row r="62" spans="1:15" s="4" customFormat="1" x14ac:dyDescent="0.25">
      <c r="A62" s="4">
        <v>60</v>
      </c>
      <c r="B62" s="4" t="s">
        <v>169</v>
      </c>
      <c r="C62" s="4" t="s">
        <v>170</v>
      </c>
      <c r="D62" s="4" t="s">
        <v>171</v>
      </c>
      <c r="E62" s="5">
        <v>3</v>
      </c>
      <c r="F62" s="5"/>
      <c r="G62" s="5" t="s">
        <v>15</v>
      </c>
      <c r="H62" s="6">
        <f>8.1-0.84</f>
        <v>7.26</v>
      </c>
      <c r="I62" s="5">
        <f t="shared" si="6"/>
        <v>2.42</v>
      </c>
      <c r="J62" s="8">
        <f t="shared" si="7"/>
        <v>1.1983471074380165</v>
      </c>
      <c r="K62" s="5">
        <v>2.9</v>
      </c>
      <c r="O62" s="5" t="s">
        <v>172</v>
      </c>
    </row>
    <row r="63" spans="1:15" s="4" customFormat="1" x14ac:dyDescent="0.25">
      <c r="A63" s="4">
        <v>61</v>
      </c>
      <c r="B63" s="4" t="s">
        <v>169</v>
      </c>
      <c r="C63" s="4" t="s">
        <v>173</v>
      </c>
      <c r="D63" s="4" t="s">
        <v>174</v>
      </c>
      <c r="E63" s="5">
        <v>3</v>
      </c>
      <c r="F63" s="5"/>
      <c r="G63" s="5" t="s">
        <v>175</v>
      </c>
      <c r="H63" s="6">
        <f>10.5-0.9</f>
        <v>9.6</v>
      </c>
      <c r="I63" s="5">
        <f t="shared" si="6"/>
        <v>3.1999999999999997</v>
      </c>
      <c r="J63" s="8">
        <f t="shared" si="7"/>
        <v>1.1562500000000002</v>
      </c>
      <c r="K63" s="5">
        <v>3.7</v>
      </c>
      <c r="O63" s="5" t="s">
        <v>176</v>
      </c>
    </row>
    <row r="64" spans="1:15" s="4" customFormat="1" x14ac:dyDescent="0.25">
      <c r="A64" s="4">
        <v>62</v>
      </c>
      <c r="B64" s="4" t="s">
        <v>177</v>
      </c>
      <c r="C64" s="4" t="s">
        <v>178</v>
      </c>
      <c r="D64" s="4" t="s">
        <v>179</v>
      </c>
      <c r="E64" s="5">
        <v>3</v>
      </c>
      <c r="F64" s="5"/>
      <c r="G64" s="5" t="s">
        <v>15</v>
      </c>
      <c r="H64" s="6">
        <f>12-2.4</f>
        <v>9.6</v>
      </c>
      <c r="I64" s="5">
        <f t="shared" si="6"/>
        <v>3.1999999999999997</v>
      </c>
      <c r="J64" s="8">
        <f t="shared" si="7"/>
        <v>1.1562500000000002</v>
      </c>
      <c r="K64" s="5">
        <v>3.7</v>
      </c>
      <c r="O64" s="5" t="s">
        <v>180</v>
      </c>
    </row>
    <row r="65" spans="1:15" s="4" customFormat="1" x14ac:dyDescent="0.25">
      <c r="A65" s="4">
        <v>63</v>
      </c>
      <c r="B65" s="4" t="s">
        <v>128</v>
      </c>
      <c r="C65" s="4" t="s">
        <v>181</v>
      </c>
      <c r="D65" s="4" t="s">
        <v>130</v>
      </c>
      <c r="E65" s="5">
        <v>3</v>
      </c>
      <c r="F65" s="5"/>
      <c r="G65" s="5" t="s">
        <v>15</v>
      </c>
      <c r="H65" s="6">
        <v>17.1</v>
      </c>
      <c r="I65" s="5">
        <f t="shared" si="6"/>
        <v>5.7</v>
      </c>
      <c r="J65" s="8">
        <f t="shared" si="7"/>
        <v>1.2280701754385965</v>
      </c>
      <c r="K65" s="5">
        <v>7</v>
      </c>
      <c r="O65" s="5" t="s">
        <v>182</v>
      </c>
    </row>
    <row r="66" spans="1:15" s="4" customFormat="1" x14ac:dyDescent="0.25">
      <c r="A66" s="4">
        <v>64</v>
      </c>
      <c r="B66" s="4" t="s">
        <v>128</v>
      </c>
      <c r="C66" s="4" t="s">
        <v>183</v>
      </c>
      <c r="D66" s="4" t="s">
        <v>130</v>
      </c>
      <c r="E66" s="5">
        <v>3</v>
      </c>
      <c r="F66" s="5"/>
      <c r="G66" s="5" t="s">
        <v>15</v>
      </c>
      <c r="H66" s="6">
        <f>26.4-2.7</f>
        <v>23.7</v>
      </c>
      <c r="I66" s="5">
        <f t="shared" ref="I66:I102" si="8">+H66/E66</f>
        <v>7.8999999999999995</v>
      </c>
      <c r="J66" s="8">
        <f t="shared" ref="J66:J102" si="9">+_xlfn.PERCENTOF(K66,I66)</f>
        <v>1.2025316455696204</v>
      </c>
      <c r="K66" s="5">
        <v>9.5</v>
      </c>
      <c r="O66" s="5" t="s">
        <v>184</v>
      </c>
    </row>
    <row r="67" spans="1:15" s="4" customFormat="1" x14ac:dyDescent="0.25">
      <c r="A67" s="4">
        <v>65</v>
      </c>
      <c r="B67" s="4" t="s">
        <v>128</v>
      </c>
      <c r="C67" s="4" t="s">
        <v>129</v>
      </c>
      <c r="D67" s="4" t="s">
        <v>130</v>
      </c>
      <c r="E67" s="5">
        <v>3</v>
      </c>
      <c r="F67" s="5">
        <v>0</v>
      </c>
      <c r="G67" s="5" t="s">
        <v>15</v>
      </c>
      <c r="H67" s="6">
        <v>21.9</v>
      </c>
      <c r="I67" s="5">
        <f t="shared" si="8"/>
        <v>7.3</v>
      </c>
      <c r="J67" s="8">
        <f t="shared" si="9"/>
        <v>1.1643835616438356</v>
      </c>
      <c r="K67" s="5">
        <v>8.5</v>
      </c>
      <c r="M67" s="4">
        <f>+E67-F67</f>
        <v>3</v>
      </c>
      <c r="N67" s="4">
        <f>+M67*K67</f>
        <v>25.5</v>
      </c>
      <c r="O67" s="5" t="s">
        <v>131</v>
      </c>
    </row>
    <row r="68" spans="1:15" s="4" customFormat="1" x14ac:dyDescent="0.25">
      <c r="A68" s="4">
        <v>66</v>
      </c>
      <c r="B68" s="4" t="s">
        <v>185</v>
      </c>
      <c r="C68" s="4" t="s">
        <v>186</v>
      </c>
      <c r="D68" s="4" t="s">
        <v>187</v>
      </c>
      <c r="E68" s="5">
        <v>3</v>
      </c>
      <c r="F68" s="5"/>
      <c r="G68" s="5" t="s">
        <v>15</v>
      </c>
      <c r="H68" s="6">
        <f>8.67-0.72</f>
        <v>7.95</v>
      </c>
      <c r="I68" s="5">
        <f t="shared" si="8"/>
        <v>2.65</v>
      </c>
      <c r="J68" s="8">
        <f t="shared" si="9"/>
        <v>1.2452830188679245</v>
      </c>
      <c r="K68" s="5">
        <v>3.3</v>
      </c>
      <c r="O68" s="5" t="s">
        <v>188</v>
      </c>
    </row>
    <row r="69" spans="1:15" s="4" customFormat="1" x14ac:dyDescent="0.25">
      <c r="A69" s="4">
        <v>67</v>
      </c>
      <c r="B69" s="4" t="s">
        <v>189</v>
      </c>
      <c r="C69" s="4" t="s">
        <v>190</v>
      </c>
      <c r="D69" s="4" t="s">
        <v>179</v>
      </c>
      <c r="E69" s="5">
        <v>6</v>
      </c>
      <c r="F69" s="5"/>
      <c r="G69" s="5" t="s">
        <v>15</v>
      </c>
      <c r="H69" s="6">
        <f>24-4.8</f>
        <v>19.2</v>
      </c>
      <c r="I69" s="5">
        <f t="shared" si="8"/>
        <v>3.1999999999999997</v>
      </c>
      <c r="J69" s="8">
        <f t="shared" si="9"/>
        <v>1.1562500000000002</v>
      </c>
      <c r="K69" s="5">
        <v>3.7</v>
      </c>
      <c r="O69" s="5" t="s">
        <v>191</v>
      </c>
    </row>
    <row r="70" spans="1:15" s="4" customFormat="1" x14ac:dyDescent="0.25">
      <c r="A70" s="4">
        <v>68</v>
      </c>
      <c r="B70" s="4" t="s">
        <v>192</v>
      </c>
      <c r="C70" s="4" t="s">
        <v>193</v>
      </c>
      <c r="D70" s="4" t="s">
        <v>194</v>
      </c>
      <c r="E70" s="5">
        <v>12</v>
      </c>
      <c r="F70" s="5">
        <v>10</v>
      </c>
      <c r="G70" s="5" t="s">
        <v>15</v>
      </c>
      <c r="H70" s="6">
        <f>12-1.32</f>
        <v>10.68</v>
      </c>
      <c r="I70" s="5">
        <f t="shared" si="8"/>
        <v>0.89</v>
      </c>
      <c r="J70" s="8">
        <f t="shared" si="9"/>
        <v>1.348314606741573</v>
      </c>
      <c r="K70" s="5">
        <v>1.2</v>
      </c>
      <c r="M70" s="4">
        <f>+E70-F70</f>
        <v>2</v>
      </c>
      <c r="N70" s="4">
        <f>+M70*K70</f>
        <v>2.4</v>
      </c>
      <c r="O70" s="5" t="s">
        <v>195</v>
      </c>
    </row>
    <row r="71" spans="1:15" s="4" customFormat="1" x14ac:dyDescent="0.25">
      <c r="A71" s="4">
        <v>69</v>
      </c>
      <c r="B71" s="4" t="s">
        <v>196</v>
      </c>
      <c r="C71" s="4" t="s">
        <v>58</v>
      </c>
      <c r="D71" s="4" t="s">
        <v>197</v>
      </c>
      <c r="E71" s="5">
        <v>6</v>
      </c>
      <c r="F71" s="5">
        <v>5</v>
      </c>
      <c r="G71" s="5" t="s">
        <v>198</v>
      </c>
      <c r="H71" s="6">
        <f>19.2-0.36</f>
        <v>18.84</v>
      </c>
      <c r="I71" s="5">
        <f t="shared" si="8"/>
        <v>3.14</v>
      </c>
      <c r="J71" s="8">
        <f t="shared" si="9"/>
        <v>1.2420382165605095</v>
      </c>
      <c r="K71" s="5">
        <v>3.9</v>
      </c>
      <c r="M71" s="4">
        <f>+E71-F71</f>
        <v>1</v>
      </c>
      <c r="N71" s="4">
        <f>+M71*K71</f>
        <v>3.9</v>
      </c>
      <c r="O71" s="5" t="s">
        <v>199</v>
      </c>
    </row>
    <row r="72" spans="1:15" s="4" customFormat="1" x14ac:dyDescent="0.25">
      <c r="A72" s="4">
        <v>70</v>
      </c>
      <c r="B72" s="4" t="s">
        <v>196</v>
      </c>
      <c r="C72" s="4" t="s">
        <v>58</v>
      </c>
      <c r="D72" s="4" t="s">
        <v>200</v>
      </c>
      <c r="E72" s="5">
        <v>6</v>
      </c>
      <c r="F72" s="5"/>
      <c r="G72" s="5" t="s">
        <v>198</v>
      </c>
      <c r="H72" s="6">
        <f>19.2-0.36</f>
        <v>18.84</v>
      </c>
      <c r="I72" s="5">
        <f t="shared" si="8"/>
        <v>3.14</v>
      </c>
      <c r="J72" s="8">
        <f t="shared" si="9"/>
        <v>1.2420382165605095</v>
      </c>
      <c r="K72" s="5">
        <v>3.9</v>
      </c>
      <c r="O72" s="5" t="s">
        <v>201</v>
      </c>
    </row>
    <row r="73" spans="1:15" s="4" customFormat="1" x14ac:dyDescent="0.25">
      <c r="A73" s="4">
        <v>71</v>
      </c>
      <c r="B73" s="4" t="s">
        <v>202</v>
      </c>
      <c r="C73" s="4" t="s">
        <v>203</v>
      </c>
      <c r="D73" s="4" t="s">
        <v>138</v>
      </c>
      <c r="E73" s="5">
        <v>3</v>
      </c>
      <c r="F73" s="5">
        <v>2</v>
      </c>
      <c r="G73" s="5" t="s">
        <v>15</v>
      </c>
      <c r="H73" s="6">
        <f>16.5-1.5</f>
        <v>15</v>
      </c>
      <c r="I73" s="5">
        <f t="shared" si="8"/>
        <v>5</v>
      </c>
      <c r="J73" s="8">
        <f t="shared" si="9"/>
        <v>1.2</v>
      </c>
      <c r="K73" s="5">
        <v>6</v>
      </c>
      <c r="M73" s="4">
        <f>+E73-F73</f>
        <v>1</v>
      </c>
      <c r="N73" s="4">
        <f>+M73*K73</f>
        <v>6</v>
      </c>
      <c r="O73" s="5" t="s">
        <v>204</v>
      </c>
    </row>
    <row r="74" spans="1:15" s="4" customFormat="1" x14ac:dyDescent="0.25">
      <c r="A74" s="4">
        <v>72</v>
      </c>
      <c r="B74" s="4" t="s">
        <v>205</v>
      </c>
      <c r="C74" s="4" t="s">
        <v>206</v>
      </c>
      <c r="D74" s="4" t="s">
        <v>207</v>
      </c>
      <c r="E74" s="5">
        <v>3</v>
      </c>
      <c r="F74" s="5"/>
      <c r="G74" s="5" t="s">
        <v>198</v>
      </c>
      <c r="H74" s="6">
        <v>18.6</v>
      </c>
      <c r="I74" s="5">
        <f t="shared" si="8"/>
        <v>6.2</v>
      </c>
      <c r="J74" s="8">
        <f t="shared" si="9"/>
        <v>1.1129032258064517</v>
      </c>
      <c r="K74" s="5">
        <v>6.9</v>
      </c>
      <c r="O74" s="5" t="s">
        <v>208</v>
      </c>
    </row>
    <row r="75" spans="1:15" s="4" customFormat="1" x14ac:dyDescent="0.25">
      <c r="A75" s="4">
        <v>73</v>
      </c>
      <c r="B75" s="4" t="s">
        <v>202</v>
      </c>
      <c r="C75" s="4" t="s">
        <v>209</v>
      </c>
      <c r="D75" s="4" t="s">
        <v>138</v>
      </c>
      <c r="E75" s="5">
        <v>2</v>
      </c>
      <c r="F75" s="5"/>
      <c r="G75" s="5" t="s">
        <v>15</v>
      </c>
      <c r="H75" s="6">
        <v>11</v>
      </c>
      <c r="I75" s="5">
        <f t="shared" si="8"/>
        <v>5.5</v>
      </c>
      <c r="J75" s="8">
        <f t="shared" si="9"/>
        <v>1.2181818181818183</v>
      </c>
      <c r="K75" s="5">
        <v>6.7</v>
      </c>
      <c r="O75" s="5" t="s">
        <v>210</v>
      </c>
    </row>
    <row r="76" spans="1:15" s="4" customFormat="1" x14ac:dyDescent="0.25">
      <c r="A76" s="4">
        <v>74</v>
      </c>
      <c r="B76" s="4" t="s">
        <v>211</v>
      </c>
      <c r="C76" s="4" t="s">
        <v>212</v>
      </c>
      <c r="D76" s="4" t="s">
        <v>213</v>
      </c>
      <c r="E76" s="5">
        <v>12</v>
      </c>
      <c r="F76" s="5"/>
      <c r="G76" s="5" t="s">
        <v>214</v>
      </c>
      <c r="H76" s="6">
        <f>13.2-3.24</f>
        <v>9.959999999999999</v>
      </c>
      <c r="I76" s="5">
        <f t="shared" si="8"/>
        <v>0.83</v>
      </c>
      <c r="J76" s="8">
        <f t="shared" si="9"/>
        <v>1.4457831325301205</v>
      </c>
      <c r="K76" s="5">
        <v>1.2</v>
      </c>
      <c r="O76" s="5" t="s">
        <v>215</v>
      </c>
    </row>
    <row r="77" spans="1:15" s="4" customFormat="1" x14ac:dyDescent="0.25">
      <c r="A77" s="4">
        <v>75</v>
      </c>
      <c r="B77" s="4" t="s">
        <v>169</v>
      </c>
      <c r="C77" s="4" t="s">
        <v>216</v>
      </c>
      <c r="D77" s="4" t="s">
        <v>217</v>
      </c>
      <c r="E77" s="5">
        <v>3</v>
      </c>
      <c r="F77" s="5"/>
      <c r="G77" s="5" t="s">
        <v>218</v>
      </c>
      <c r="H77" s="6">
        <f>8.1-0.6</f>
        <v>7.5</v>
      </c>
      <c r="I77" s="5">
        <f t="shared" si="8"/>
        <v>2.5</v>
      </c>
      <c r="J77" s="8">
        <f t="shared" si="9"/>
        <v>1.2</v>
      </c>
      <c r="K77" s="5">
        <v>3</v>
      </c>
      <c r="O77" s="5" t="s">
        <v>219</v>
      </c>
    </row>
    <row r="78" spans="1:15" s="4" customFormat="1" x14ac:dyDescent="0.25">
      <c r="A78" s="4">
        <v>76</v>
      </c>
      <c r="B78" s="4" t="s">
        <v>220</v>
      </c>
      <c r="C78" s="4" t="s">
        <v>221</v>
      </c>
      <c r="D78" s="4" t="s">
        <v>222</v>
      </c>
      <c r="E78" s="5">
        <v>12</v>
      </c>
      <c r="F78" s="5">
        <v>10</v>
      </c>
      <c r="G78" s="5" t="s">
        <v>218</v>
      </c>
      <c r="H78" s="6">
        <f>12-1.32</f>
        <v>10.68</v>
      </c>
      <c r="I78" s="5">
        <f t="shared" si="8"/>
        <v>0.89</v>
      </c>
      <c r="J78" s="8">
        <f t="shared" si="9"/>
        <v>1.348314606741573</v>
      </c>
      <c r="K78" s="5">
        <v>1.2</v>
      </c>
      <c r="M78" s="4">
        <f>+E78-F78</f>
        <v>2</v>
      </c>
      <c r="N78" s="4">
        <f>+M78*K78</f>
        <v>2.4</v>
      </c>
      <c r="O78" s="5" t="s">
        <v>223</v>
      </c>
    </row>
    <row r="79" spans="1:15" s="4" customFormat="1" x14ac:dyDescent="0.25">
      <c r="A79" s="4">
        <v>77</v>
      </c>
      <c r="B79" s="4" t="s">
        <v>224</v>
      </c>
      <c r="C79" s="4" t="s">
        <v>225</v>
      </c>
      <c r="D79" s="4" t="s">
        <v>226</v>
      </c>
      <c r="E79" s="5">
        <v>2</v>
      </c>
      <c r="F79" s="5"/>
      <c r="G79" s="5" t="s">
        <v>227</v>
      </c>
      <c r="H79" s="6">
        <v>17.2</v>
      </c>
      <c r="I79" s="5">
        <f t="shared" si="8"/>
        <v>8.6</v>
      </c>
      <c r="J79" s="8">
        <f t="shared" si="9"/>
        <v>1.069767441860465</v>
      </c>
      <c r="K79" s="5">
        <v>9.2</v>
      </c>
      <c r="O79" s="5" t="s">
        <v>228</v>
      </c>
    </row>
    <row r="80" spans="1:15" s="4" customFormat="1" x14ac:dyDescent="0.25">
      <c r="A80" s="4">
        <v>78</v>
      </c>
      <c r="B80" s="4" t="s">
        <v>224</v>
      </c>
      <c r="C80" s="4" t="s">
        <v>229</v>
      </c>
      <c r="D80" s="4" t="s">
        <v>226</v>
      </c>
      <c r="E80" s="5">
        <v>3</v>
      </c>
      <c r="F80" s="5"/>
      <c r="G80" s="5" t="s">
        <v>227</v>
      </c>
      <c r="H80" s="6">
        <v>25.8</v>
      </c>
      <c r="I80" s="5">
        <f t="shared" si="8"/>
        <v>8.6</v>
      </c>
      <c r="J80" s="8">
        <f t="shared" si="9"/>
        <v>1.069767441860465</v>
      </c>
      <c r="K80" s="5">
        <v>9.2</v>
      </c>
      <c r="O80" s="5" t="s">
        <v>230</v>
      </c>
    </row>
    <row r="81" spans="1:15" s="4" customFormat="1" x14ac:dyDescent="0.25">
      <c r="A81" s="4">
        <v>79</v>
      </c>
      <c r="B81" s="4" t="s">
        <v>224</v>
      </c>
      <c r="C81" s="4" t="s">
        <v>231</v>
      </c>
      <c r="D81" s="4" t="s">
        <v>226</v>
      </c>
      <c r="E81" s="5">
        <v>2</v>
      </c>
      <c r="F81" s="5"/>
      <c r="G81" s="5" t="s">
        <v>227</v>
      </c>
      <c r="H81" s="6">
        <v>17.2</v>
      </c>
      <c r="I81" s="5">
        <f t="shared" si="8"/>
        <v>8.6</v>
      </c>
      <c r="J81" s="8">
        <f t="shared" si="9"/>
        <v>1.069767441860465</v>
      </c>
      <c r="K81" s="5">
        <v>9.2</v>
      </c>
      <c r="O81" s="5" t="s">
        <v>230</v>
      </c>
    </row>
    <row r="82" spans="1:15" s="4" customFormat="1" x14ac:dyDescent="0.25">
      <c r="A82" s="4">
        <v>80</v>
      </c>
      <c r="B82" s="4" t="s">
        <v>224</v>
      </c>
      <c r="C82" s="4" t="s">
        <v>232</v>
      </c>
      <c r="D82" s="4" t="s">
        <v>226</v>
      </c>
      <c r="E82" s="5">
        <v>2</v>
      </c>
      <c r="F82" s="5"/>
      <c r="G82" s="5" t="s">
        <v>227</v>
      </c>
      <c r="H82" s="6">
        <v>17.2</v>
      </c>
      <c r="I82" s="5">
        <f t="shared" si="8"/>
        <v>8.6</v>
      </c>
      <c r="J82" s="8">
        <f t="shared" si="9"/>
        <v>1.069767441860465</v>
      </c>
      <c r="K82" s="5">
        <v>9.2</v>
      </c>
      <c r="O82" s="5" t="s">
        <v>230</v>
      </c>
    </row>
    <row r="83" spans="1:15" s="4" customFormat="1" x14ac:dyDescent="0.25">
      <c r="A83" s="4">
        <v>81</v>
      </c>
      <c r="B83" s="4" t="s">
        <v>224</v>
      </c>
      <c r="C83" s="4" t="s">
        <v>233</v>
      </c>
      <c r="D83" s="4" t="s">
        <v>234</v>
      </c>
      <c r="E83" s="5">
        <v>3</v>
      </c>
      <c r="F83" s="5"/>
      <c r="G83" s="5" t="s">
        <v>227</v>
      </c>
      <c r="H83" s="6">
        <f>21.9-1.92</f>
        <v>19.979999999999997</v>
      </c>
      <c r="I83" s="5">
        <f t="shared" si="8"/>
        <v>6.659999999999999</v>
      </c>
      <c r="J83" s="8">
        <f t="shared" si="9"/>
        <v>1.1261261261261262</v>
      </c>
      <c r="K83" s="5">
        <v>7.5</v>
      </c>
      <c r="O83" s="5" t="s">
        <v>235</v>
      </c>
    </row>
    <row r="84" spans="1:15" s="4" customFormat="1" x14ac:dyDescent="0.25">
      <c r="A84" s="4">
        <v>82</v>
      </c>
      <c r="B84" s="4" t="s">
        <v>224</v>
      </c>
      <c r="C84" s="4" t="s">
        <v>233</v>
      </c>
      <c r="D84" s="4" t="s">
        <v>236</v>
      </c>
      <c r="E84" s="5">
        <v>6</v>
      </c>
      <c r="F84" s="5"/>
      <c r="G84" s="5" t="s">
        <v>227</v>
      </c>
      <c r="H84" s="6">
        <f>21-1.8</f>
        <v>19.2</v>
      </c>
      <c r="I84" s="5">
        <f t="shared" si="8"/>
        <v>3.1999999999999997</v>
      </c>
      <c r="J84" s="8">
        <f t="shared" si="9"/>
        <v>1.1562500000000002</v>
      </c>
      <c r="K84" s="5">
        <v>3.7</v>
      </c>
      <c r="O84" s="5" t="s">
        <v>237</v>
      </c>
    </row>
    <row r="85" spans="1:15" s="4" customFormat="1" x14ac:dyDescent="0.25">
      <c r="A85" s="4">
        <v>83</v>
      </c>
      <c r="B85" s="4" t="s">
        <v>238</v>
      </c>
      <c r="C85" s="4" t="s">
        <v>239</v>
      </c>
      <c r="D85" s="4" t="s">
        <v>240</v>
      </c>
      <c r="E85" s="5">
        <v>3</v>
      </c>
      <c r="F85" s="5"/>
      <c r="G85" s="5" t="s">
        <v>227</v>
      </c>
      <c r="H85" s="6">
        <f>12-2.4</f>
        <v>9.6</v>
      </c>
      <c r="I85" s="5">
        <f t="shared" si="8"/>
        <v>3.1999999999999997</v>
      </c>
      <c r="J85" s="8">
        <f t="shared" si="9"/>
        <v>1.1562500000000002</v>
      </c>
      <c r="K85" s="5">
        <v>3.7</v>
      </c>
      <c r="O85" s="5" t="s">
        <v>180</v>
      </c>
    </row>
    <row r="86" spans="1:15" s="4" customFormat="1" x14ac:dyDescent="0.25">
      <c r="A86" s="4">
        <v>84</v>
      </c>
      <c r="B86" s="4" t="s">
        <v>140</v>
      </c>
      <c r="C86" s="4" t="s">
        <v>241</v>
      </c>
      <c r="D86" s="4" t="s">
        <v>29</v>
      </c>
      <c r="E86" s="5">
        <v>16</v>
      </c>
      <c r="F86" s="5"/>
      <c r="G86" s="5" t="s">
        <v>218</v>
      </c>
      <c r="H86" s="6">
        <f>19-2</f>
        <v>17</v>
      </c>
      <c r="I86" s="5">
        <f t="shared" si="8"/>
        <v>1.0625</v>
      </c>
      <c r="J86" s="8">
        <f t="shared" si="9"/>
        <v>1.411764705882353</v>
      </c>
      <c r="K86" s="5">
        <v>1.5</v>
      </c>
      <c r="O86" s="5" t="s">
        <v>242</v>
      </c>
    </row>
    <row r="87" spans="1:15" s="4" customFormat="1" x14ac:dyDescent="0.25">
      <c r="A87" s="4">
        <v>85</v>
      </c>
      <c r="B87" s="4" t="s">
        <v>140</v>
      </c>
      <c r="C87" s="4" t="s">
        <v>243</v>
      </c>
      <c r="D87" s="4" t="s">
        <v>244</v>
      </c>
      <c r="E87" s="5">
        <v>12</v>
      </c>
      <c r="F87" s="5"/>
      <c r="G87" s="5" t="s">
        <v>218</v>
      </c>
      <c r="H87" s="6">
        <v>12.7</v>
      </c>
      <c r="I87" s="5">
        <f t="shared" si="8"/>
        <v>1.0583333333333333</v>
      </c>
      <c r="J87" s="8">
        <f t="shared" si="9"/>
        <v>1.4173228346456692</v>
      </c>
      <c r="K87" s="5">
        <v>1.5</v>
      </c>
      <c r="L87" s="4" t="s">
        <v>245</v>
      </c>
      <c r="O87" s="5" t="s">
        <v>246</v>
      </c>
    </row>
    <row r="88" spans="1:15" s="4" customFormat="1" x14ac:dyDescent="0.25">
      <c r="A88" s="4">
        <v>86</v>
      </c>
      <c r="B88" s="4" t="s">
        <v>247</v>
      </c>
      <c r="C88" s="4" t="s">
        <v>248</v>
      </c>
      <c r="D88" s="4" t="s">
        <v>249</v>
      </c>
      <c r="E88" s="5">
        <v>12</v>
      </c>
      <c r="F88" s="5">
        <v>11</v>
      </c>
      <c r="G88" s="5" t="s">
        <v>218</v>
      </c>
      <c r="H88" s="6">
        <f>12-1.32</f>
        <v>10.68</v>
      </c>
      <c r="I88" s="5">
        <f t="shared" si="8"/>
        <v>0.89</v>
      </c>
      <c r="J88" s="8">
        <f t="shared" si="9"/>
        <v>1.348314606741573</v>
      </c>
      <c r="K88" s="5">
        <v>1.2</v>
      </c>
      <c r="M88" s="4">
        <f>+E88-F88</f>
        <v>1</v>
      </c>
      <c r="N88" s="4">
        <f>+M88*K88</f>
        <v>1.2</v>
      </c>
      <c r="O88" s="5" t="s">
        <v>250</v>
      </c>
    </row>
    <row r="89" spans="1:15" s="4" customFormat="1" x14ac:dyDescent="0.25">
      <c r="A89" s="4">
        <v>87</v>
      </c>
      <c r="B89" s="4" t="s">
        <v>251</v>
      </c>
      <c r="C89" s="4" t="s">
        <v>252</v>
      </c>
      <c r="D89" s="4" t="s">
        <v>253</v>
      </c>
      <c r="E89" s="5">
        <v>12</v>
      </c>
      <c r="F89" s="5"/>
      <c r="G89" s="5" t="s">
        <v>218</v>
      </c>
      <c r="H89" s="6">
        <f>13.2-3.24</f>
        <v>9.959999999999999</v>
      </c>
      <c r="I89" s="5">
        <f t="shared" si="8"/>
        <v>0.83</v>
      </c>
      <c r="J89" s="8">
        <f t="shared" si="9"/>
        <v>1.4457831325301205</v>
      </c>
      <c r="K89" s="5">
        <v>1.2</v>
      </c>
      <c r="O89" s="5" t="s">
        <v>254</v>
      </c>
    </row>
    <row r="90" spans="1:15" s="4" customFormat="1" x14ac:dyDescent="0.25">
      <c r="A90" s="4">
        <v>88</v>
      </c>
      <c r="B90" s="4" t="s">
        <v>169</v>
      </c>
      <c r="C90" s="4" t="s">
        <v>255</v>
      </c>
      <c r="D90" s="4" t="s">
        <v>256</v>
      </c>
      <c r="E90" s="5">
        <v>3</v>
      </c>
      <c r="F90" s="5"/>
      <c r="G90" s="5" t="s">
        <v>218</v>
      </c>
      <c r="H90" s="6">
        <f>8.1-0.6</f>
        <v>7.5</v>
      </c>
      <c r="I90" s="5">
        <f t="shared" si="8"/>
        <v>2.5</v>
      </c>
      <c r="J90" s="8">
        <f t="shared" si="9"/>
        <v>1.16</v>
      </c>
      <c r="K90" s="5">
        <v>2.9</v>
      </c>
      <c r="O90" s="5" t="s">
        <v>257</v>
      </c>
    </row>
    <row r="91" spans="1:15" s="4" customFormat="1" x14ac:dyDescent="0.25">
      <c r="A91" s="4">
        <v>89</v>
      </c>
      <c r="B91" s="4" t="s">
        <v>258</v>
      </c>
      <c r="C91" s="4" t="s">
        <v>259</v>
      </c>
      <c r="D91" s="4"/>
      <c r="E91" s="5">
        <v>30</v>
      </c>
      <c r="F91" s="5"/>
      <c r="G91" s="5" t="s">
        <v>260</v>
      </c>
      <c r="H91" s="6">
        <f>8.7-0.27</f>
        <v>8.43</v>
      </c>
      <c r="I91" s="5">
        <f t="shared" si="8"/>
        <v>0.28099999999999997</v>
      </c>
      <c r="J91" s="8">
        <f t="shared" si="9"/>
        <v>1.423487544483986</v>
      </c>
      <c r="K91" s="5">
        <v>0.4</v>
      </c>
      <c r="O91" s="5" t="s">
        <v>261</v>
      </c>
    </row>
    <row r="92" spans="1:15" s="4" customFormat="1" x14ac:dyDescent="0.25">
      <c r="A92" s="4">
        <v>90</v>
      </c>
      <c r="B92" s="4" t="s">
        <v>262</v>
      </c>
      <c r="C92" s="4" t="s">
        <v>263</v>
      </c>
      <c r="D92" s="4" t="s">
        <v>264</v>
      </c>
      <c r="E92" s="5">
        <v>3</v>
      </c>
      <c r="F92" s="5"/>
      <c r="G92" s="5" t="s">
        <v>265</v>
      </c>
      <c r="H92" s="6">
        <v>5.4</v>
      </c>
      <c r="I92" s="5">
        <f t="shared" si="8"/>
        <v>1.8</v>
      </c>
      <c r="J92" s="8">
        <f t="shared" si="9"/>
        <v>1.3888888888888888</v>
      </c>
      <c r="K92" s="5">
        <v>2.5</v>
      </c>
      <c r="O92" s="5" t="s">
        <v>266</v>
      </c>
    </row>
    <row r="93" spans="1:15" s="4" customFormat="1" x14ac:dyDescent="0.25">
      <c r="A93" s="4">
        <v>91</v>
      </c>
      <c r="B93" s="4" t="s">
        <v>262</v>
      </c>
      <c r="C93" s="4" t="s">
        <v>267</v>
      </c>
      <c r="D93" s="4" t="s">
        <v>264</v>
      </c>
      <c r="E93" s="5">
        <v>3</v>
      </c>
      <c r="F93" s="5"/>
      <c r="G93" s="5" t="s">
        <v>265</v>
      </c>
      <c r="H93" s="6">
        <v>5.7</v>
      </c>
      <c r="I93" s="5">
        <f t="shared" si="8"/>
        <v>1.9000000000000001</v>
      </c>
      <c r="J93" s="8">
        <f t="shared" si="9"/>
        <v>1.3157894736842104</v>
      </c>
      <c r="K93" s="5">
        <v>2.5</v>
      </c>
      <c r="O93" s="5" t="s">
        <v>268</v>
      </c>
    </row>
    <row r="94" spans="1:15" s="4" customFormat="1" x14ac:dyDescent="0.25">
      <c r="A94" s="4">
        <v>92</v>
      </c>
      <c r="B94" s="4" t="s">
        <v>269</v>
      </c>
      <c r="C94" s="4" t="s">
        <v>270</v>
      </c>
      <c r="D94" s="4"/>
      <c r="E94" s="5">
        <v>12</v>
      </c>
      <c r="F94" s="5"/>
      <c r="G94" s="5" t="s">
        <v>15</v>
      </c>
      <c r="H94" s="6">
        <v>39.39</v>
      </c>
      <c r="I94" s="5">
        <f t="shared" si="8"/>
        <v>3.2825</v>
      </c>
      <c r="J94" s="8">
        <f t="shared" si="9"/>
        <v>1.188118811881188</v>
      </c>
      <c r="K94" s="5">
        <v>3.9</v>
      </c>
      <c r="O94" s="5" t="s">
        <v>271</v>
      </c>
    </row>
    <row r="95" spans="1:15" s="4" customFormat="1" x14ac:dyDescent="0.25">
      <c r="A95" s="4">
        <v>93</v>
      </c>
      <c r="B95" s="4" t="s">
        <v>272</v>
      </c>
      <c r="C95" s="4" t="s">
        <v>273</v>
      </c>
      <c r="D95" s="4" t="s">
        <v>274</v>
      </c>
      <c r="E95" s="5">
        <v>18</v>
      </c>
      <c r="F95" s="5">
        <v>16</v>
      </c>
      <c r="G95" s="5" t="s">
        <v>15</v>
      </c>
      <c r="H95" s="6">
        <f>14.7-0.3</f>
        <v>14.399999999999999</v>
      </c>
      <c r="I95" s="5">
        <f t="shared" si="8"/>
        <v>0.7999999999999999</v>
      </c>
      <c r="J95" s="8">
        <f t="shared" si="9"/>
        <v>1.25</v>
      </c>
      <c r="K95" s="5">
        <v>1</v>
      </c>
      <c r="M95" s="4">
        <f>+E95-F95</f>
        <v>2</v>
      </c>
      <c r="N95" s="4">
        <f>+M95*K95</f>
        <v>2</v>
      </c>
      <c r="O95" s="5" t="s">
        <v>275</v>
      </c>
    </row>
    <row r="96" spans="1:15" s="4" customFormat="1" x14ac:dyDescent="0.25">
      <c r="A96" s="4">
        <v>94</v>
      </c>
      <c r="B96" s="4" t="s">
        <v>272</v>
      </c>
      <c r="C96" s="4" t="s">
        <v>276</v>
      </c>
      <c r="D96" s="4" t="s">
        <v>277</v>
      </c>
      <c r="E96" s="5">
        <v>18</v>
      </c>
      <c r="F96" s="5">
        <v>16</v>
      </c>
      <c r="G96" s="5" t="s">
        <v>15</v>
      </c>
      <c r="H96" s="6">
        <f>12.9-0.3</f>
        <v>12.6</v>
      </c>
      <c r="I96" s="5">
        <f t="shared" si="8"/>
        <v>0.7</v>
      </c>
      <c r="J96" s="8">
        <f t="shared" si="9"/>
        <v>1.4285714285714286</v>
      </c>
      <c r="K96" s="5">
        <v>1</v>
      </c>
      <c r="M96" s="4">
        <f>+E96-F96</f>
        <v>2</v>
      </c>
      <c r="N96" s="4">
        <f>+M96*K96</f>
        <v>2</v>
      </c>
      <c r="O96" s="5" t="s">
        <v>278</v>
      </c>
    </row>
    <row r="97" spans="1:15" s="4" customFormat="1" x14ac:dyDescent="0.25">
      <c r="A97" s="4">
        <v>95</v>
      </c>
      <c r="B97" s="4" t="s">
        <v>279</v>
      </c>
      <c r="C97" s="4" t="s">
        <v>280</v>
      </c>
      <c r="D97" s="4" t="s">
        <v>281</v>
      </c>
      <c r="E97" s="5">
        <v>5</v>
      </c>
      <c r="F97" s="5"/>
      <c r="G97" s="5" t="s">
        <v>218</v>
      </c>
      <c r="H97" s="6">
        <f>27.5-3</f>
        <v>24.5</v>
      </c>
      <c r="I97" s="5">
        <f t="shared" si="8"/>
        <v>4.9</v>
      </c>
      <c r="J97" s="8">
        <f t="shared" si="9"/>
        <v>1.2244897959183672</v>
      </c>
      <c r="K97" s="5">
        <v>6</v>
      </c>
      <c r="O97" s="5" t="s">
        <v>282</v>
      </c>
    </row>
    <row r="98" spans="1:15" s="4" customFormat="1" x14ac:dyDescent="0.25">
      <c r="A98" s="4">
        <v>96</v>
      </c>
      <c r="B98" s="4" t="s">
        <v>202</v>
      </c>
      <c r="C98" s="4" t="s">
        <v>283</v>
      </c>
      <c r="D98" s="4" t="s">
        <v>138</v>
      </c>
      <c r="E98" s="5">
        <v>2</v>
      </c>
      <c r="F98" s="5"/>
      <c r="G98" s="5" t="s">
        <v>15</v>
      </c>
      <c r="H98" s="6">
        <v>11</v>
      </c>
      <c r="I98" s="5">
        <f t="shared" si="8"/>
        <v>5.5</v>
      </c>
      <c r="J98" s="8">
        <f t="shared" si="9"/>
        <v>1.2181818181818183</v>
      </c>
      <c r="K98" s="5">
        <v>6.7</v>
      </c>
      <c r="O98" s="5" t="s">
        <v>210</v>
      </c>
    </row>
    <row r="99" spans="1:15" s="4" customFormat="1" x14ac:dyDescent="0.25">
      <c r="A99" s="4">
        <v>97</v>
      </c>
      <c r="B99" s="4" t="s">
        <v>202</v>
      </c>
      <c r="C99" s="4" t="s">
        <v>284</v>
      </c>
      <c r="D99" s="4" t="s">
        <v>285</v>
      </c>
      <c r="E99" s="5">
        <v>6</v>
      </c>
      <c r="F99" s="5"/>
      <c r="G99" s="5" t="s">
        <v>15</v>
      </c>
      <c r="H99" s="6">
        <f>10.2-0.6</f>
        <v>9.6</v>
      </c>
      <c r="I99" s="5">
        <f t="shared" si="8"/>
        <v>1.5999999999999999</v>
      </c>
      <c r="J99" s="8">
        <f t="shared" si="9"/>
        <v>1.25</v>
      </c>
      <c r="K99" s="5">
        <v>2</v>
      </c>
      <c r="O99" s="5" t="s">
        <v>286</v>
      </c>
    </row>
    <row r="100" spans="1:15" s="4" customFormat="1" x14ac:dyDescent="0.25">
      <c r="A100" s="4">
        <v>98</v>
      </c>
      <c r="B100" s="4" t="s">
        <v>287</v>
      </c>
      <c r="C100" s="4" t="s">
        <v>288</v>
      </c>
      <c r="D100" s="4" t="s">
        <v>289</v>
      </c>
      <c r="E100" s="5">
        <v>6</v>
      </c>
      <c r="F100" s="5"/>
      <c r="G100" s="5" t="s">
        <v>198</v>
      </c>
      <c r="H100" s="6">
        <v>54</v>
      </c>
      <c r="I100" s="5">
        <f t="shared" si="8"/>
        <v>9</v>
      </c>
      <c r="J100" s="8">
        <f t="shared" si="9"/>
        <v>1.2222222222222223</v>
      </c>
      <c r="K100" s="5">
        <v>11</v>
      </c>
      <c r="O100" s="5" t="s">
        <v>290</v>
      </c>
    </row>
    <row r="101" spans="1:15" s="4" customFormat="1" x14ac:dyDescent="0.25">
      <c r="A101" s="4">
        <v>99</v>
      </c>
      <c r="B101" s="4" t="s">
        <v>287</v>
      </c>
      <c r="C101" s="4" t="s">
        <v>291</v>
      </c>
      <c r="D101" s="4" t="s">
        <v>292</v>
      </c>
      <c r="E101" s="5">
        <v>6</v>
      </c>
      <c r="F101" s="5"/>
      <c r="G101" s="5" t="s">
        <v>198</v>
      </c>
      <c r="H101" s="6">
        <v>48</v>
      </c>
      <c r="I101" s="5">
        <f t="shared" si="8"/>
        <v>8</v>
      </c>
      <c r="J101" s="8">
        <f t="shared" si="9"/>
        <v>1.25</v>
      </c>
      <c r="K101" s="5">
        <v>10</v>
      </c>
      <c r="O101" s="5" t="s">
        <v>293</v>
      </c>
    </row>
    <row r="102" spans="1:15" s="4" customFormat="1" x14ac:dyDescent="0.25">
      <c r="A102" s="4">
        <v>100</v>
      </c>
      <c r="B102" s="4" t="s">
        <v>294</v>
      </c>
      <c r="C102" s="4" t="s">
        <v>144</v>
      </c>
      <c r="D102" s="13" t="s">
        <v>295</v>
      </c>
      <c r="E102" s="5">
        <v>10</v>
      </c>
      <c r="F102" s="5"/>
      <c r="G102" s="5" t="s">
        <v>218</v>
      </c>
      <c r="H102" s="6">
        <v>17</v>
      </c>
      <c r="I102" s="5">
        <f t="shared" si="8"/>
        <v>1.7</v>
      </c>
      <c r="J102" s="8">
        <f t="shared" si="9"/>
        <v>1.352941176470588</v>
      </c>
      <c r="K102" s="5">
        <v>2.3</v>
      </c>
      <c r="O102" s="5" t="s">
        <v>296</v>
      </c>
    </row>
  </sheetData>
  <autoFilter ref="A1:K102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zoomScale="100" zoomScaleNormal="100">
      <selection activeCell="E2" sqref="E2"/>
    </sheetView>
  </sheetViews>
  <sheetFormatPr defaultRowHeight="15" outlineLevelRow="0" outlineLevelCol="0" x14ac:dyDescent="0.25"/>
  <sheetData>
    <row r="1" spans="1:1" x14ac:dyDescent="0.25">
      <c r="A1" s="14">
        <v>1.9871124999999998</v>
      </c>
    </row>
    <row r="2" spans="1:1" x14ac:dyDescent="0.25">
      <c r="A2" s="14">
        <v>1.5896899999999998</v>
      </c>
    </row>
    <row r="3" spans="1:1" x14ac:dyDescent="0.25">
      <c r="A3" s="4">
        <v>3.5</v>
      </c>
    </row>
    <row r="4" spans="1:1" x14ac:dyDescent="0.25">
      <c r="A4" s="4">
        <v>2.99</v>
      </c>
    </row>
    <row r="5" spans="1:1" x14ac:dyDescent="0.25">
      <c r="A5" s="4">
        <v>2.5</v>
      </c>
    </row>
    <row r="6" spans="1:1" x14ac:dyDescent="0.25">
      <c r="A6" s="4">
        <v>5.49</v>
      </c>
    </row>
    <row r="7" spans="1:1" x14ac:dyDescent="0.25">
      <c r="A7" s="4">
        <v>3.39</v>
      </c>
    </row>
    <row r="8" spans="1:1" x14ac:dyDescent="0.25">
      <c r="A8" s="4">
        <v>0.99</v>
      </c>
    </row>
    <row r="9" spans="1:1" x14ac:dyDescent="0.25">
      <c r="A9" s="4">
        <v>14.940000000000001</v>
      </c>
    </row>
    <row r="10" spans="1:1" x14ac:dyDescent="0.25">
      <c r="A10" s="4">
        <v>35</v>
      </c>
    </row>
    <row r="11" spans="1:1" x14ac:dyDescent="0.25">
      <c r="A11" s="4">
        <v>4.69</v>
      </c>
    </row>
    <row r="12" spans="1:1" x14ac:dyDescent="0.25">
      <c r="A12" s="4">
        <v>20.950000000000003</v>
      </c>
    </row>
    <row r="13" spans="1:1" x14ac:dyDescent="0.25">
      <c r="A13" s="4">
        <v>0</v>
      </c>
    </row>
    <row r="14" spans="1:1" x14ac:dyDescent="0.25">
      <c r="A14" s="4">
        <v>96</v>
      </c>
    </row>
    <row r="15" spans="1:1" x14ac:dyDescent="0.25">
      <c r="A15" s="4">
        <v>45.5</v>
      </c>
    </row>
    <row r="16" spans="1:1" x14ac:dyDescent="0.25">
      <c r="A16" s="4">
        <v>3.5</v>
      </c>
    </row>
    <row r="17" spans="1:1" x14ac:dyDescent="0.25">
      <c r="A17" s="4">
        <v>5.97</v>
      </c>
    </row>
    <row r="18" spans="1:1" x14ac:dyDescent="0.25">
      <c r="A18" s="4">
        <v>14</v>
      </c>
    </row>
    <row r="19" spans="1:1" x14ac:dyDescent="0.25">
      <c r="A19" s="4">
        <v>7.5</v>
      </c>
    </row>
    <row r="20" spans="1:1" x14ac:dyDescent="0.25">
      <c r="A20" s="4">
        <v>8.5</v>
      </c>
    </row>
    <row r="21" spans="1:1" x14ac:dyDescent="0.25">
      <c r="A21" s="4">
        <v>2</v>
      </c>
    </row>
    <row r="22" spans="1:1" x14ac:dyDescent="0.25">
      <c r="A22" s="4">
        <v>1.2</v>
      </c>
    </row>
    <row r="23" spans="1:1" x14ac:dyDescent="0.25">
      <c r="A23" s="4">
        <v>48</v>
      </c>
    </row>
    <row r="24" spans="1:1" x14ac:dyDescent="0.25">
      <c r="A24" s="4">
        <v>2.2</v>
      </c>
    </row>
    <row r="25" spans="1:1" x14ac:dyDescent="0.25">
      <c r="A25" s="4">
        <v>3.5</v>
      </c>
    </row>
    <row r="26" spans="1:1" x14ac:dyDescent="0.25">
      <c r="A26" s="4">
        <v>25.5</v>
      </c>
    </row>
    <row r="27" spans="1:1" x14ac:dyDescent="0.25">
      <c r="A27" s="4">
        <v>2.4</v>
      </c>
    </row>
    <row r="28" spans="1:1" x14ac:dyDescent="0.25">
      <c r="A28" s="4">
        <v>3.9</v>
      </c>
    </row>
    <row r="29" spans="1:1" x14ac:dyDescent="0.25">
      <c r="A29" s="4">
        <v>6</v>
      </c>
    </row>
    <row r="30" spans="1:1" x14ac:dyDescent="0.25">
      <c r="A30" s="4">
        <v>2.4</v>
      </c>
    </row>
    <row r="31" spans="1:1" x14ac:dyDescent="0.25">
      <c r="A31" s="4">
        <v>1.2</v>
      </c>
    </row>
    <row r="32" spans="1:1" x14ac:dyDescent="0.25">
      <c r="A32" s="4">
        <v>2</v>
      </c>
    </row>
    <row r="33" spans="1:1" x14ac:dyDescent="0.25">
      <c r="A33" s="4">
        <v>2</v>
      </c>
    </row>
    <row r="34" spans="1:4" x14ac:dyDescent="0.25">
      <c r="A34" s="15">
        <f>SUM(A1:A33)</f>
        <v>381.28680249999985</v>
      </c>
      <c r="C34" s="15"/>
      <c r="D3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pedidos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Rujel</dc:creator>
  <cp:lastModifiedBy>Jonathan David Rujel Angeles</cp:lastModifiedBy>
  <dcterms:created xsi:type="dcterms:W3CDTF">2026-06-20T22:21:26Z</dcterms:created>
  <dcterms:modified xsi:type="dcterms:W3CDTF">2026-07-24T14:37:24Z</dcterms:modified>
</cp:coreProperties>
</file>