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8_Productos_Nuevos" sheetId="1" state="visible" r:id="rId3"/>
    <sheet name="6_Registrar_Como_Compr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<sst xmlns="http://schemas.openxmlformats.org/spreadsheetml/2006/main" count="190" uniqueCount="114">
  <si>
    <t xml:space="preserve">PRODUCTOS NUEVOS LISTOS PARA IMPORTAR (sin conflicto con el catálogo actual)</t>
  </si>
  <si>
    <t xml:space="preserve">Estos 38 productos no existen en el sistema actual (verificado por código de barras y nombre). Se pueden dar de alta directamente.</t>
  </si>
  <si>
    <t xml:space="preserve">Código de Barras</t>
  </si>
  <si>
    <t xml:space="preserve">Nombre del Producto</t>
  </si>
  <si>
    <t xml:space="preserve">Categoría</t>
  </si>
  <si>
    <t xml:space="preserve">Precio Venta</t>
  </si>
  <si>
    <t xml:space="preserve">Costo Unitario</t>
  </si>
  <si>
    <t xml:space="preserve">Stock Actual</t>
  </si>
  <si>
    <t xml:space="preserve">Unidad</t>
  </si>
  <si>
    <t xml:space="preserve">7750106264617</t>
  </si>
  <si>
    <t xml:space="preserve">GALLETA CRACKNEL 140G.</t>
  </si>
  <si>
    <t xml:space="preserve">Golosinas</t>
  </si>
  <si>
    <t xml:space="preserve">UNIDAD</t>
  </si>
  <si>
    <t xml:space="preserve">7751731007389</t>
  </si>
  <si>
    <t xml:space="preserve">KERO ALEO FRUTOS ROJOS 300ML.</t>
  </si>
  <si>
    <t xml:space="preserve">Bebidas</t>
  </si>
  <si>
    <t xml:space="preserve">7750182006095</t>
  </si>
  <si>
    <t xml:space="preserve">COCA COLA 600ML</t>
  </si>
  <si>
    <t xml:space="preserve">7750182009010</t>
  </si>
  <si>
    <t xml:space="preserve">POWER ADE 600ML. - SABOR MORA AZUL</t>
  </si>
  <si>
    <t xml:space="preserve">7750182007818</t>
  </si>
  <si>
    <t xml:space="preserve">POWER ADE 600ML. - SABOR CITRUS MARACUYA</t>
  </si>
  <si>
    <t xml:space="preserve">7750034000875</t>
  </si>
  <si>
    <t xml:space="preserve">LIMPIATODO TAZZ - LAVANDA 650ML.</t>
  </si>
  <si>
    <t xml:space="preserve">Limpieza &amp; Aseo</t>
  </si>
  <si>
    <t xml:space="preserve">7750034000868</t>
  </si>
  <si>
    <t xml:space="preserve">LIMPIATODO TAZZ - SUEÑO DE BEBE 650ML.</t>
  </si>
  <si>
    <t xml:space="preserve">7750243084161</t>
  </si>
  <si>
    <t xml:space="preserve">GLACITAS CHOCONIEVE 30G.</t>
  </si>
  <si>
    <t xml:space="preserve">7613035963948</t>
  </si>
  <si>
    <t xml:space="preserve">MOROCHAS 30G.</t>
  </si>
  <si>
    <t xml:space="preserve">7750885025942</t>
  </si>
  <si>
    <t xml:space="preserve">CHOCMAN DOBLE MANJAR 55G.</t>
  </si>
  <si>
    <t xml:space="preserve">7750243084147</t>
  </si>
  <si>
    <t xml:space="preserve">GLACITAS CHOCOLATE 30G.</t>
  </si>
  <si>
    <t xml:space="preserve">7750243084123</t>
  </si>
  <si>
    <t xml:space="preserve">GLACITAS TOFFEE 30G.</t>
  </si>
  <si>
    <t xml:space="preserve">7750106003094</t>
  </si>
  <si>
    <t xml:space="preserve">SODA SAN JORGE 40G.</t>
  </si>
  <si>
    <t xml:space="preserve">7622202232756</t>
  </si>
  <si>
    <t xml:space="preserve">GALLETAS RITZ 70G.</t>
  </si>
  <si>
    <t xml:space="preserve">7622201390013</t>
  </si>
  <si>
    <t xml:space="preserve">GALLETAS RITZ QUESO 20G.</t>
  </si>
  <si>
    <t xml:space="preserve">7750885021005</t>
  </si>
  <si>
    <t xml:space="preserve">GALLETAS GRETEL 32G.</t>
  </si>
  <si>
    <t xml:space="preserve">7622202014796</t>
  </si>
  <si>
    <t xml:space="preserve">CHOCOSODA 36G.</t>
  </si>
  <si>
    <t xml:space="preserve">7622300279783</t>
  </si>
  <si>
    <t xml:space="preserve">GALLETA VAINILLA 37G.</t>
  </si>
  <si>
    <t xml:space="preserve">7750885019835</t>
  </si>
  <si>
    <t xml:space="preserve">WAFER NIK CHOCOLATE 27G.</t>
  </si>
  <si>
    <t xml:space="preserve">7750885019811</t>
  </si>
  <si>
    <t xml:space="preserve">WAFER NIK FRESA 27G.</t>
  </si>
  <si>
    <t xml:space="preserve">7750243085410</t>
  </si>
  <si>
    <t xml:space="preserve">GALLETA MARGARITA 41G.</t>
  </si>
  <si>
    <t xml:space="preserve">7753749003186</t>
  </si>
  <si>
    <t xml:space="preserve">GUARANA 450ML.</t>
  </si>
  <si>
    <t xml:space="preserve">7750182003834</t>
  </si>
  <si>
    <t xml:space="preserve">GASEOSA SIN AZUCAR - INKA KOLA 300ML</t>
  </si>
  <si>
    <t xml:space="preserve">7750670009041</t>
  </si>
  <si>
    <t xml:space="preserve">AGUA MINERAL CIELO 1L.</t>
  </si>
  <si>
    <t xml:space="preserve">7622201720438</t>
  </si>
  <si>
    <t xml:space="preserve">GALLETA CLUB SOCIAL MANTEQUILLA 24G.</t>
  </si>
  <si>
    <t xml:space="preserve">7622201717766</t>
  </si>
  <si>
    <t xml:space="preserve">GALLETA CLUB SOCIAL ORIGINAL 24G.</t>
  </si>
  <si>
    <t xml:space="preserve">7750243077651</t>
  </si>
  <si>
    <t xml:space="preserve">GALLETA CASINO TRES LECHES 43G.</t>
  </si>
  <si>
    <t xml:space="preserve">7750243086226</t>
  </si>
  <si>
    <t xml:space="preserve">GALLETA CASINO CAFÉ VIBES 43G.</t>
  </si>
  <si>
    <t xml:space="preserve">7750243052702</t>
  </si>
  <si>
    <t xml:space="preserve">GALLETA CASINO ALFAJOR 43G.</t>
  </si>
  <si>
    <t xml:space="preserve">7750243077620</t>
  </si>
  <si>
    <t xml:space="preserve">GALLETA TENTACIÓN VAINILLA 43G.</t>
  </si>
  <si>
    <t xml:space="preserve">7752285033954</t>
  </si>
  <si>
    <t xml:space="preserve">ANTITRANSPIRANTE REXONA MOTINOSENSE NUTRITIVE 10G.</t>
  </si>
  <si>
    <t xml:space="preserve">Aseo personal</t>
  </si>
  <si>
    <t xml:space="preserve">7752285034036</t>
  </si>
  <si>
    <t xml:space="preserve">ANTITRANSPIRANTE REXONA MOTINOSENSE V8 10G.</t>
  </si>
  <si>
    <t xml:space="preserve">7509546668666</t>
  </si>
  <si>
    <t xml:space="preserve">DESODORANTE SPEED STICK CLINICAL COMPLETE 100G.</t>
  </si>
  <si>
    <t xml:space="preserve">7750243077613</t>
  </si>
  <si>
    <t xml:space="preserve">GALLETA TENTACIÓN NARANJA 43G.</t>
  </si>
  <si>
    <t xml:space="preserve">7750885019859</t>
  </si>
  <si>
    <t xml:space="preserve">WAFER NIK VAINILLA 27G.</t>
  </si>
  <si>
    <t xml:space="preserve">7501033204265</t>
  </si>
  <si>
    <t xml:space="preserve">DESODORANTE SPEED STICK XTREME BLOC 9G.</t>
  </si>
  <si>
    <t xml:space="preserve">7501033204234</t>
  </si>
  <si>
    <t xml:space="preserve">DESODORANTE LADY SPEED STICK 24/7 TALC 9G.</t>
  </si>
  <si>
    <t xml:space="preserve">7753938005779</t>
  </si>
  <si>
    <t xml:space="preserve">FIBRA VERDE PARA LAVAR VAJILLA - ARO</t>
  </si>
  <si>
    <t xml:space="preserve">PRODUCTOS QUE YA EXISTEN EN EL SISTEMA — registrar como COMPRA, no como alta de producto</t>
  </si>
  <si>
    <t xml:space="preserve">El código de barras ya está en tu sistema. La "Cantidad Sugerida" se calculó como (stock del Excel nuevo) - (stock actual en el sistema), asumiendo que el stock del Excel representa el total DESPUÉS de recibir esta compra. Verifica contra la factura o boleta real del proveedor antes de registrar, porque el Excel no aclara si ese stock es total o solo el ingreso nuevo.</t>
  </si>
  <si>
    <t xml:space="preserve">Nombre en el Sistema (actual)</t>
  </si>
  <si>
    <t xml:space="preserve">Nombre en el Excel</t>
  </si>
  <si>
    <t xml:space="preserve">Costo Actual
en Sistema</t>
  </si>
  <si>
    <t xml:space="preserve">Stock Actual
en Sistema</t>
  </si>
  <si>
    <t xml:space="preserve">Costo de esta
Compra (Excel)</t>
  </si>
  <si>
    <t xml:space="preserve">Stock según
Excel (nuevo)</t>
  </si>
  <si>
    <t xml:space="preserve">Cantidad Sugerida
a Comprar</t>
  </si>
  <si>
    <t xml:space="preserve">Costo Promedio
Ponderado Resultante</t>
  </si>
  <si>
    <t xml:space="preserve">7750236330169</t>
  </si>
  <si>
    <t xml:space="preserve">INKA COLA 1.5 LT.</t>
  </si>
  <si>
    <t xml:space="preserve">7750182155663</t>
  </si>
  <si>
    <t xml:space="preserve">COCA COLA 1.5 LT.</t>
  </si>
  <si>
    <t xml:space="preserve">7750182006088</t>
  </si>
  <si>
    <t xml:space="preserve">INKA KOLA 600ML</t>
  </si>
  <si>
    <t xml:space="preserve">7750670004442</t>
  </si>
  <si>
    <t xml:space="preserve">BEBIDA ENERGIZANTE - SPORADE 1.5LT</t>
  </si>
  <si>
    <t xml:space="preserve">BEBIDA ENERGIZANTE - SPORADE TROPICAL 1.5LT</t>
  </si>
  <si>
    <t xml:space="preserve">7750670010238</t>
  </si>
  <si>
    <t xml:space="preserve">BEBIDA ENERGIZANTE - SPORADE 500ML</t>
  </si>
  <si>
    <t xml:space="preserve">SPORADE TROPICAL 500ML</t>
  </si>
  <si>
    <t xml:space="preserve">7750182003827</t>
  </si>
  <si>
    <t xml:space="preserve">GASEOSA SIN AZUCAR - COCA COLA 300ML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</si>
</sst>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S/&quot;#,##0.00"/>
    <numFmt numFmtId="166" formatCode="&quot;S/&quot;#,##0.0000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5" t="n">
        <v>1</v>
      </c>
      <c r="E5" s="6" t="n">
        <v>0.8667</v>
      </c>
      <c r="F5" s="4" t="n">
        <v>9</v>
      </c>
      <c r="G5" s="4" t="s">
        <v>12</v>
      </c>
    </row>
    <row r="6" customFormat="false" ht="15" hidden="false" customHeight="false" outlineLevel="0" collapsed="false">
      <c r="A6" s="4" t="s">
        <v>13</v>
      </c>
      <c r="B6" s="4" t="s">
        <v>14</v>
      </c>
      <c r="C6" s="4" t="s">
        <v>15</v>
      </c>
      <c r="D6" s="5" t="n">
        <v>3.5</v>
      </c>
      <c r="E6" s="6" t="n">
        <v>2.67</v>
      </c>
      <c r="F6" s="4" t="n">
        <v>12</v>
      </c>
      <c r="G6" s="4" t="s">
        <v>12</v>
      </c>
    </row>
    <row r="7" customFormat="false" ht="15" hidden="false" customHeight="false" outlineLevel="0" collapsed="false">
      <c r="A7" s="4" t="s">
        <v>16</v>
      </c>
      <c r="B7" s="4" t="s">
        <v>17</v>
      </c>
      <c r="C7" s="4" t="s">
        <v>15</v>
      </c>
      <c r="D7" s="5" t="n">
        <v>3.5</v>
      </c>
      <c r="E7" s="6" t="n">
        <v>2.71</v>
      </c>
      <c r="F7" s="4" t="n">
        <v>12</v>
      </c>
      <c r="G7" s="4" t="s">
        <v>12</v>
      </c>
    </row>
    <row r="8" customFormat="false" ht="15" hidden="false" customHeight="false" outlineLevel="0" collapsed="false">
      <c r="A8" s="4" t="s">
        <v>18</v>
      </c>
      <c r="B8" s="4" t="s">
        <v>19</v>
      </c>
      <c r="C8" s="4" t="s">
        <v>15</v>
      </c>
      <c r="D8" s="5" t="n">
        <v>2.5</v>
      </c>
      <c r="E8" s="6" t="n">
        <v>1.73</v>
      </c>
      <c r="F8" s="4" t="n">
        <v>6</v>
      </c>
      <c r="G8" s="4" t="s">
        <v>12</v>
      </c>
    </row>
    <row r="9" customFormat="false" ht="15" hidden="false" customHeight="false" outlineLevel="0" collapsed="false">
      <c r="A9" s="4" t="s">
        <v>20</v>
      </c>
      <c r="B9" s="4" t="s">
        <v>21</v>
      </c>
      <c r="C9" s="4" t="s">
        <v>15</v>
      </c>
      <c r="D9" s="5" t="n">
        <v>2.5</v>
      </c>
      <c r="E9" s="6" t="n">
        <v>1.83</v>
      </c>
      <c r="F9" s="4" t="n">
        <v>6</v>
      </c>
      <c r="G9" s="4" t="s">
        <v>12</v>
      </c>
    </row>
    <row r="10" customFormat="false" ht="15" hidden="false" customHeight="false" outlineLevel="0" collapsed="false">
      <c r="A10" s="4" t="s">
        <v>22</v>
      </c>
      <c r="B10" s="4" t="s">
        <v>23</v>
      </c>
      <c r="C10" s="4" t="s">
        <v>24</v>
      </c>
      <c r="D10" s="5" t="n">
        <v>2.5</v>
      </c>
      <c r="E10" s="6" t="n">
        <v>1.65</v>
      </c>
      <c r="F10" s="4" t="n">
        <v>6</v>
      </c>
      <c r="G10" s="4" t="s">
        <v>12</v>
      </c>
    </row>
    <row r="11" customFormat="false" ht="15" hidden="false" customHeight="false" outlineLevel="0" collapsed="false">
      <c r="A11" s="4" t="s">
        <v>25</v>
      </c>
      <c r="B11" s="4" t="s">
        <v>26</v>
      </c>
      <c r="C11" s="4" t="s">
        <v>24</v>
      </c>
      <c r="D11" s="5" t="n">
        <v>2.5</v>
      </c>
      <c r="E11" s="6" t="n">
        <v>1.65</v>
      </c>
      <c r="F11" s="4" t="n">
        <v>6</v>
      </c>
      <c r="G11" s="4" t="s">
        <v>12</v>
      </c>
    </row>
    <row r="12" customFormat="false" ht="15" hidden="false" customHeight="false" outlineLevel="0" collapsed="false">
      <c r="A12" s="4" t="s">
        <v>27</v>
      </c>
      <c r="B12" s="4" t="s">
        <v>28</v>
      </c>
      <c r="C12" s="4" t="s">
        <v>11</v>
      </c>
      <c r="D12" s="5" t="n">
        <v>1</v>
      </c>
      <c r="E12" s="6" t="n">
        <v>0.8</v>
      </c>
      <c r="F12" s="4" t="n">
        <v>6</v>
      </c>
      <c r="G12" s="4" t="s">
        <v>12</v>
      </c>
    </row>
    <row r="13" customFormat="false" ht="15" hidden="false" customHeight="false" outlineLevel="0" collapsed="false">
      <c r="A13" s="4" t="s">
        <v>29</v>
      </c>
      <c r="B13" s="4" t="s">
        <v>30</v>
      </c>
      <c r="C13" s="4" t="s">
        <v>11</v>
      </c>
      <c r="D13" s="5" t="n">
        <v>1</v>
      </c>
      <c r="E13" s="6" t="n">
        <v>0.825</v>
      </c>
      <c r="F13" s="4" t="n">
        <v>24</v>
      </c>
      <c r="G13" s="4" t="s">
        <v>12</v>
      </c>
    </row>
    <row r="14" customFormat="false" ht="15" hidden="false" customHeight="false" outlineLevel="0" collapsed="false">
      <c r="A14" s="4" t="s">
        <v>31</v>
      </c>
      <c r="B14" s="4" t="s">
        <v>32</v>
      </c>
      <c r="C14" s="4" t="s">
        <v>11</v>
      </c>
      <c r="D14" s="5" t="n">
        <v>1.5</v>
      </c>
      <c r="E14" s="6" t="n">
        <v>1.06</v>
      </c>
      <c r="F14" s="4" t="n">
        <v>18</v>
      </c>
      <c r="G14" s="4" t="s">
        <v>12</v>
      </c>
    </row>
    <row r="15" customFormat="false" ht="15" hidden="false" customHeight="false" outlineLevel="0" collapsed="false">
      <c r="A15" s="4" t="s">
        <v>33</v>
      </c>
      <c r="B15" s="4" t="s">
        <v>34</v>
      </c>
      <c r="C15" s="4" t="s">
        <v>11</v>
      </c>
      <c r="D15" s="5" t="n">
        <v>1</v>
      </c>
      <c r="E15" s="6" t="n">
        <v>0.8</v>
      </c>
      <c r="F15" s="4" t="n">
        <v>6</v>
      </c>
      <c r="G15" s="4" t="s">
        <v>12</v>
      </c>
    </row>
    <row r="16" customFormat="false" ht="15" hidden="false" customHeight="false" outlineLevel="0" collapsed="false">
      <c r="A16" s="4" t="s">
        <v>35</v>
      </c>
      <c r="B16" s="4" t="s">
        <v>36</v>
      </c>
      <c r="C16" s="4" t="s">
        <v>11</v>
      </c>
      <c r="D16" s="5" t="n">
        <v>1</v>
      </c>
      <c r="E16" s="6" t="n">
        <v>0.8</v>
      </c>
      <c r="F16" s="4" t="n">
        <v>6</v>
      </c>
      <c r="G16" s="4" t="s">
        <v>12</v>
      </c>
    </row>
    <row r="17" customFormat="false" ht="15" hidden="false" customHeight="false" outlineLevel="0" collapsed="false">
      <c r="A17" s="4" t="s">
        <v>37</v>
      </c>
      <c r="B17" s="4" t="s">
        <v>38</v>
      </c>
      <c r="C17" s="4" t="s">
        <v>11</v>
      </c>
      <c r="D17" s="5" t="n">
        <v>1</v>
      </c>
      <c r="E17" s="6" t="n">
        <v>0.5443</v>
      </c>
      <c r="F17" s="4" t="n">
        <v>21</v>
      </c>
      <c r="G17" s="4" t="s">
        <v>12</v>
      </c>
    </row>
    <row r="18" customFormat="false" ht="15" hidden="false" customHeight="false" outlineLevel="0" collapsed="false">
      <c r="A18" s="4" t="s">
        <v>39</v>
      </c>
      <c r="B18" s="4" t="s">
        <v>40</v>
      </c>
      <c r="C18" s="4" t="s">
        <v>11</v>
      </c>
      <c r="D18" s="5" t="n">
        <v>2.5</v>
      </c>
      <c r="E18" s="6" t="n">
        <v>1.8833</v>
      </c>
      <c r="F18" s="4" t="n">
        <v>18</v>
      </c>
      <c r="G18" s="4" t="s">
        <v>12</v>
      </c>
    </row>
    <row r="19" customFormat="false" ht="15" hidden="false" customHeight="false" outlineLevel="0" collapsed="false">
      <c r="A19" s="4" t="s">
        <v>41</v>
      </c>
      <c r="B19" s="4" t="s">
        <v>42</v>
      </c>
      <c r="C19" s="4" t="s">
        <v>11</v>
      </c>
      <c r="D19" s="5" t="n">
        <v>1.2</v>
      </c>
      <c r="E19" s="6" t="n">
        <v>0.8967</v>
      </c>
      <c r="F19" s="4" t="n">
        <v>18</v>
      </c>
      <c r="G19" s="4" t="s">
        <v>12</v>
      </c>
    </row>
    <row r="20" customFormat="false" ht="15" hidden="false" customHeight="false" outlineLevel="0" collapsed="false">
      <c r="A20" s="4" t="s">
        <v>43</v>
      </c>
      <c r="B20" s="4" t="s">
        <v>44</v>
      </c>
      <c r="C20" s="4" t="s">
        <v>11</v>
      </c>
      <c r="D20" s="5" t="n">
        <v>1</v>
      </c>
      <c r="E20" s="6" t="n">
        <v>0.6783</v>
      </c>
      <c r="F20" s="4" t="n">
        <v>18</v>
      </c>
      <c r="G20" s="4" t="s">
        <v>12</v>
      </c>
    </row>
    <row r="21" customFormat="false" ht="15" hidden="false" customHeight="false" outlineLevel="0" collapsed="false">
      <c r="A21" s="4" t="s">
        <v>45</v>
      </c>
      <c r="B21" s="4" t="s">
        <v>46</v>
      </c>
      <c r="C21" s="4" t="s">
        <v>11</v>
      </c>
      <c r="D21" s="5" t="n">
        <v>1.5</v>
      </c>
      <c r="E21" s="6" t="n">
        <v>1.1167</v>
      </c>
      <c r="F21" s="4" t="n">
        <v>18</v>
      </c>
      <c r="G21" s="4" t="s">
        <v>12</v>
      </c>
    </row>
    <row r="22" customFormat="false" ht="15" hidden="false" customHeight="false" outlineLevel="0" collapsed="false">
      <c r="A22" s="4" t="s">
        <v>47</v>
      </c>
      <c r="B22" s="4" t="s">
        <v>48</v>
      </c>
      <c r="C22" s="4" t="s">
        <v>11</v>
      </c>
      <c r="D22" s="5" t="n">
        <v>1</v>
      </c>
      <c r="E22" s="6" t="n">
        <v>0.7167</v>
      </c>
      <c r="F22" s="4" t="n">
        <v>6</v>
      </c>
      <c r="G22" s="4" t="s">
        <v>12</v>
      </c>
    </row>
    <row r="23" customFormat="false" ht="15" hidden="false" customHeight="false" outlineLevel="0" collapsed="false">
      <c r="A23" s="4" t="s">
        <v>49</v>
      </c>
      <c r="B23" s="4" t="s">
        <v>50</v>
      </c>
      <c r="C23" s="4" t="s">
        <v>11</v>
      </c>
      <c r="D23" s="5" t="n">
        <v>1</v>
      </c>
      <c r="E23" s="6" t="n">
        <v>0.4967</v>
      </c>
      <c r="F23" s="4" t="n">
        <v>6</v>
      </c>
      <c r="G23" s="4" t="s">
        <v>12</v>
      </c>
    </row>
    <row r="24" customFormat="false" ht="15" hidden="false" customHeight="false" outlineLevel="0" collapsed="false">
      <c r="A24" s="4" t="s">
        <v>51</v>
      </c>
      <c r="B24" s="4" t="s">
        <v>52</v>
      </c>
      <c r="C24" s="4" t="s">
        <v>11</v>
      </c>
      <c r="D24" s="5" t="n">
        <v>1</v>
      </c>
      <c r="E24" s="6" t="n">
        <v>0.4967</v>
      </c>
      <c r="F24" s="4" t="n">
        <v>6</v>
      </c>
      <c r="G24" s="4" t="s">
        <v>12</v>
      </c>
    </row>
    <row r="25" customFormat="false" ht="15" hidden="false" customHeight="false" outlineLevel="0" collapsed="false">
      <c r="A25" s="4" t="s">
        <v>53</v>
      </c>
      <c r="B25" s="4" t="s">
        <v>54</v>
      </c>
      <c r="C25" s="4" t="s">
        <v>11</v>
      </c>
      <c r="D25" s="5" t="n">
        <v>1</v>
      </c>
      <c r="E25" s="6" t="n">
        <v>0.7333</v>
      </c>
      <c r="F25" s="4" t="n">
        <v>6</v>
      </c>
      <c r="G25" s="4" t="s">
        <v>12</v>
      </c>
    </row>
    <row r="26" customFormat="false" ht="15" hidden="false" customHeight="false" outlineLevel="0" collapsed="false">
      <c r="A26" s="4" t="s">
        <v>55</v>
      </c>
      <c r="B26" s="4" t="s">
        <v>56</v>
      </c>
      <c r="C26" s="4" t="s">
        <v>15</v>
      </c>
      <c r="D26" s="5" t="n">
        <v>2</v>
      </c>
      <c r="E26" s="6" t="n">
        <v>1.4</v>
      </c>
      <c r="F26" s="4" t="n">
        <v>15</v>
      </c>
      <c r="G26" s="4" t="s">
        <v>12</v>
      </c>
    </row>
    <row r="27" customFormat="false" ht="15" hidden="false" customHeight="false" outlineLevel="0" collapsed="false">
      <c r="A27" s="4" t="s">
        <v>57</v>
      </c>
      <c r="B27" s="4" t="s">
        <v>58</v>
      </c>
      <c r="C27" s="4" t="s">
        <v>15</v>
      </c>
      <c r="D27" s="5" t="n">
        <v>2</v>
      </c>
      <c r="E27" s="6" t="n">
        <v>1.2417</v>
      </c>
      <c r="F27" s="4" t="n">
        <v>6</v>
      </c>
      <c r="G27" s="4" t="s">
        <v>12</v>
      </c>
    </row>
    <row r="28" customFormat="false" ht="15" hidden="false" customHeight="false" outlineLevel="0" collapsed="false">
      <c r="A28" s="4" t="s">
        <v>59</v>
      </c>
      <c r="B28" s="4" t="s">
        <v>60</v>
      </c>
      <c r="C28" s="4" t="s">
        <v>15</v>
      </c>
      <c r="D28" s="5" t="n">
        <v>2.5</v>
      </c>
      <c r="E28" s="6" t="n">
        <v>1.62</v>
      </c>
      <c r="F28" s="4" t="n">
        <v>6</v>
      </c>
      <c r="G28" s="4" t="s">
        <v>12</v>
      </c>
    </row>
    <row r="29" customFormat="false" ht="15" hidden="false" customHeight="false" outlineLevel="0" collapsed="false">
      <c r="A29" s="4" t="s">
        <v>61</v>
      </c>
      <c r="B29" s="4" t="s">
        <v>62</v>
      </c>
      <c r="C29" s="4" t="s">
        <v>11</v>
      </c>
      <c r="D29" s="5" t="n">
        <v>1</v>
      </c>
      <c r="E29" s="6" t="n">
        <v>0.8167</v>
      </c>
      <c r="F29" s="4" t="n">
        <v>6</v>
      </c>
      <c r="G29" s="4" t="s">
        <v>12</v>
      </c>
    </row>
    <row r="30" customFormat="false" ht="15" hidden="false" customHeight="false" outlineLevel="0" collapsed="false">
      <c r="A30" s="4" t="s">
        <v>63</v>
      </c>
      <c r="B30" s="4" t="s">
        <v>64</v>
      </c>
      <c r="C30" s="4" t="s">
        <v>11</v>
      </c>
      <c r="D30" s="5" t="n">
        <v>1</v>
      </c>
      <c r="E30" s="6" t="n">
        <v>0.8167</v>
      </c>
      <c r="F30" s="4" t="n">
        <v>6</v>
      </c>
      <c r="G30" s="4" t="s">
        <v>12</v>
      </c>
    </row>
    <row r="31" customFormat="false" ht="15" hidden="false" customHeight="false" outlineLevel="0" collapsed="false">
      <c r="A31" s="4" t="s">
        <v>65</v>
      </c>
      <c r="B31" s="4" t="s">
        <v>66</v>
      </c>
      <c r="C31" s="4" t="s">
        <v>11</v>
      </c>
      <c r="D31" s="5" t="n">
        <v>1</v>
      </c>
      <c r="E31" s="6" t="n">
        <v>0.7833</v>
      </c>
      <c r="F31" s="4" t="n">
        <v>6</v>
      </c>
      <c r="G31" s="4" t="s">
        <v>12</v>
      </c>
    </row>
    <row r="32" customFormat="false" ht="15" hidden="false" customHeight="false" outlineLevel="0" collapsed="false">
      <c r="A32" s="4" t="s">
        <v>67</v>
      </c>
      <c r="B32" s="4" t="s">
        <v>68</v>
      </c>
      <c r="C32" s="4" t="s">
        <v>11</v>
      </c>
      <c r="D32" s="5" t="n">
        <v>1</v>
      </c>
      <c r="E32" s="6" t="n">
        <v>0.7833</v>
      </c>
      <c r="F32" s="4" t="n">
        <v>6</v>
      </c>
      <c r="G32" s="4" t="s">
        <v>12</v>
      </c>
    </row>
    <row r="33" customFormat="false" ht="15" hidden="false" customHeight="false" outlineLevel="0" collapsed="false">
      <c r="A33" s="4" t="s">
        <v>69</v>
      </c>
      <c r="B33" s="4" t="s">
        <v>70</v>
      </c>
      <c r="C33" s="4" t="s">
        <v>11</v>
      </c>
      <c r="D33" s="5" t="n">
        <v>1</v>
      </c>
      <c r="E33" s="6" t="n">
        <v>0.75</v>
      </c>
      <c r="F33" s="4" t="n">
        <v>6</v>
      </c>
      <c r="G33" s="4" t="s">
        <v>12</v>
      </c>
    </row>
    <row r="34" customFormat="false" ht="15" hidden="false" customHeight="false" outlineLevel="0" collapsed="false">
      <c r="A34" s="4" t="s">
        <v>71</v>
      </c>
      <c r="B34" s="4" t="s">
        <v>72</v>
      </c>
      <c r="C34" s="4" t="s">
        <v>11</v>
      </c>
      <c r="D34" s="5" t="n">
        <v>1</v>
      </c>
      <c r="E34" s="6" t="n">
        <v>0.7667</v>
      </c>
      <c r="F34" s="4" t="n">
        <v>6</v>
      </c>
      <c r="G34" s="4" t="s">
        <v>12</v>
      </c>
    </row>
    <row r="35" customFormat="false" ht="15" hidden="false" customHeight="false" outlineLevel="0" collapsed="false">
      <c r="A35" s="4" t="s">
        <v>73</v>
      </c>
      <c r="B35" s="4" t="s">
        <v>74</v>
      </c>
      <c r="C35" s="4" t="s">
        <v>75</v>
      </c>
      <c r="D35" s="5" t="n">
        <v>1.5</v>
      </c>
      <c r="E35" s="6" t="n">
        <v>0.83</v>
      </c>
      <c r="F35" s="4" t="n">
        <v>10</v>
      </c>
      <c r="G35" s="4" t="s">
        <v>12</v>
      </c>
    </row>
    <row r="36" customFormat="false" ht="15" hidden="false" customHeight="false" outlineLevel="0" collapsed="false">
      <c r="A36" s="4" t="s">
        <v>76</v>
      </c>
      <c r="B36" s="4" t="s">
        <v>77</v>
      </c>
      <c r="C36" s="4" t="s">
        <v>75</v>
      </c>
      <c r="D36" s="5" t="n">
        <v>1.5</v>
      </c>
      <c r="E36" s="6" t="n">
        <v>0.83</v>
      </c>
      <c r="F36" s="4" t="n">
        <v>10</v>
      </c>
      <c r="G36" s="4" t="s">
        <v>12</v>
      </c>
    </row>
    <row r="37" customFormat="false" ht="15" hidden="false" customHeight="false" outlineLevel="0" collapsed="false">
      <c r="A37" s="4" t="s">
        <v>78</v>
      </c>
      <c r="B37" s="4" t="s">
        <v>79</v>
      </c>
      <c r="C37" s="4" t="s">
        <v>75</v>
      </c>
      <c r="D37" s="5" t="n">
        <v>10.5</v>
      </c>
      <c r="E37" s="6" t="n">
        <v>9.54</v>
      </c>
      <c r="F37" s="4" t="n">
        <v>2</v>
      </c>
      <c r="G37" s="4" t="s">
        <v>12</v>
      </c>
    </row>
    <row r="38" customFormat="false" ht="15" hidden="false" customHeight="false" outlineLevel="0" collapsed="false">
      <c r="A38" s="4" t="s">
        <v>80</v>
      </c>
      <c r="B38" s="4" t="s">
        <v>81</v>
      </c>
      <c r="C38" s="4" t="s">
        <v>11</v>
      </c>
      <c r="D38" s="5" t="n">
        <v>1</v>
      </c>
      <c r="E38" s="6" t="n">
        <v>0.7667</v>
      </c>
      <c r="F38" s="4" t="n">
        <v>6</v>
      </c>
      <c r="G38" s="4" t="s">
        <v>12</v>
      </c>
    </row>
    <row r="39" customFormat="false" ht="15" hidden="false" customHeight="false" outlineLevel="0" collapsed="false">
      <c r="A39" s="4" t="s">
        <v>82</v>
      </c>
      <c r="B39" s="4" t="s">
        <v>83</v>
      </c>
      <c r="C39" s="4" t="s">
        <v>11</v>
      </c>
      <c r="D39" s="5" t="n">
        <v>1</v>
      </c>
      <c r="E39" s="6" t="n">
        <v>0.4967</v>
      </c>
      <c r="F39" s="4" t="n">
        <v>6</v>
      </c>
      <c r="G39" s="4" t="s">
        <v>12</v>
      </c>
    </row>
    <row r="40" customFormat="false" ht="15" hidden="false" customHeight="false" outlineLevel="0" collapsed="false">
      <c r="A40" s="4" t="s">
        <v>84</v>
      </c>
      <c r="B40" s="4" t="s">
        <v>85</v>
      </c>
      <c r="C40" s="4" t="s">
        <v>75</v>
      </c>
      <c r="D40" s="5" t="n">
        <v>2</v>
      </c>
      <c r="E40" s="6" t="n">
        <v>1.2</v>
      </c>
      <c r="F40" s="4" t="n">
        <v>20</v>
      </c>
      <c r="G40" s="4" t="s">
        <v>12</v>
      </c>
    </row>
    <row r="41" customFormat="false" ht="15" hidden="false" customHeight="false" outlineLevel="0" collapsed="false">
      <c r="A41" s="4" t="s">
        <v>86</v>
      </c>
      <c r="B41" s="4" t="s">
        <v>87</v>
      </c>
      <c r="C41" s="4" t="s">
        <v>75</v>
      </c>
      <c r="D41" s="5" t="n">
        <v>2</v>
      </c>
      <c r="E41" s="6" t="n">
        <v>1.2</v>
      </c>
      <c r="F41" s="4" t="n">
        <v>20</v>
      </c>
      <c r="G41" s="4" t="s">
        <v>12</v>
      </c>
    </row>
    <row r="42" customFormat="false" ht="15" hidden="false" customHeight="false" outlineLevel="0" collapsed="false">
      <c r="A42" s="4" t="s">
        <v>88</v>
      </c>
      <c r="B42" s="4" t="s">
        <v>89</v>
      </c>
      <c r="C42" s="4" t="s">
        <v>24</v>
      </c>
      <c r="D42" s="5" t="n">
        <v>1</v>
      </c>
      <c r="E42" s="6" t="n">
        <v>0.575</v>
      </c>
      <c r="F42" s="4" t="n">
        <v>12</v>
      </c>
      <c r="G42" s="4" t="s">
        <v>12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34"/>
    <col collapsed="false" customWidth="true" hidden="false" outlineLevel="0" max="7" min="4" style="0" width="12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6.15" hidden="false" customHeight="false" outlineLevel="0" collapsed="false">
      <c r="A1" s="1" t="s">
        <v>90</v>
      </c>
      <c r="B1" s="1"/>
      <c r="C1" s="1"/>
      <c r="D1" s="1"/>
      <c r="E1" s="1"/>
      <c r="F1" s="1"/>
      <c r="G1" s="1"/>
      <c r="H1" s="1"/>
      <c r="I1" s="1"/>
    </row>
    <row r="2" customFormat="false" ht="39.75" hidden="false" customHeight="true" outlineLevel="0" collapsed="false">
      <c r="A2" s="2" t="s">
        <v>91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5" customFormat="false" ht="31.5" hidden="false" customHeight="true" outlineLevel="0" collapsed="false">
      <c r="A5" s="7" t="s">
        <v>2</v>
      </c>
      <c r="B5" s="7" t="s">
        <v>92</v>
      </c>
      <c r="C5" s="7" t="s">
        <v>93</v>
      </c>
      <c r="D5" s="7" t="s">
        <v>94</v>
      </c>
      <c r="E5" s="7" t="s">
        <v>95</v>
      </c>
      <c r="F5" s="7" t="s">
        <v>96</v>
      </c>
      <c r="G5" s="7" t="s">
        <v>97</v>
      </c>
      <c r="H5" s="7" t="s">
        <v>98</v>
      </c>
      <c r="I5" s="7" t="s">
        <v>99</v>
      </c>
    </row>
    <row r="6" customFormat="false" ht="15" hidden="false" customHeight="false" outlineLevel="0" collapsed="false">
      <c r="A6" s="4" t="s">
        <v>100</v>
      </c>
      <c r="B6" s="4" t="s">
        <v>101</v>
      </c>
      <c r="C6" s="4" t="s">
        <v>101</v>
      </c>
      <c r="D6" s="6" t="n">
        <v>6.5</v>
      </c>
      <c r="E6" s="4" t="n">
        <v>3</v>
      </c>
      <c r="F6" s="6" t="n">
        <v>6.43</v>
      </c>
      <c r="G6" s="4" t="n">
        <v>6</v>
      </c>
      <c r="H6" s="8" t="n">
        <f aca="false">G6-E6</f>
        <v>3</v>
      </c>
      <c r="I6" s="9" t="n">
        <f aca="false">IF((E6+H6)=0,F6,(E6*D6+H6*F6)/(E6+H6))</f>
        <v>6.465</v>
      </c>
    </row>
    <row r="7" customFormat="false" ht="15" hidden="false" customHeight="false" outlineLevel="0" collapsed="false">
      <c r="A7" s="4" t="s">
        <v>102</v>
      </c>
      <c r="B7" s="4" t="s">
        <v>103</v>
      </c>
      <c r="C7" s="4" t="s">
        <v>103</v>
      </c>
      <c r="D7" s="6" t="n">
        <v>6.5</v>
      </c>
      <c r="E7" s="4" t="n">
        <v>0</v>
      </c>
      <c r="F7" s="6" t="n">
        <v>6.43</v>
      </c>
      <c r="G7" s="4" t="n">
        <v>6</v>
      </c>
      <c r="H7" s="8" t="n">
        <f aca="false">G7-E7</f>
        <v>6</v>
      </c>
      <c r="I7" s="9" t="n">
        <f aca="false">IF((E7+H7)=0,F7,(E7*D7+H7*F7)/(E7+H7))</f>
        <v>6.43</v>
      </c>
    </row>
    <row r="8" customFormat="false" ht="15" hidden="false" customHeight="false" outlineLevel="0" collapsed="false">
      <c r="A8" s="4" t="s">
        <v>104</v>
      </c>
      <c r="B8" s="4" t="s">
        <v>105</v>
      </c>
      <c r="C8" s="4" t="s">
        <v>105</v>
      </c>
      <c r="D8" s="6" t="n">
        <v>2.71</v>
      </c>
      <c r="E8" s="4" t="n">
        <v>11</v>
      </c>
      <c r="F8" s="6" t="n">
        <v>2.71</v>
      </c>
      <c r="G8" s="4" t="n">
        <v>12</v>
      </c>
      <c r="H8" s="8" t="n">
        <f aca="false">G8-E8</f>
        <v>1</v>
      </c>
      <c r="I8" s="9" t="n">
        <f aca="false">IF((E8+H8)=0,F8,(E8*D8+H8*F8)/(E8+H8))</f>
        <v>2.71</v>
      </c>
    </row>
    <row r="9" customFormat="false" ht="15" hidden="false" customHeight="false" outlineLevel="0" collapsed="false">
      <c r="A9" s="4" t="s">
        <v>106</v>
      </c>
      <c r="B9" s="4" t="s">
        <v>107</v>
      </c>
      <c r="C9" s="4" t="s">
        <v>108</v>
      </c>
      <c r="D9" s="6" t="n">
        <v>3.98</v>
      </c>
      <c r="E9" s="4" t="n">
        <v>3</v>
      </c>
      <c r="F9" s="6" t="n">
        <v>3.78</v>
      </c>
      <c r="G9" s="4" t="n">
        <v>6</v>
      </c>
      <c r="H9" s="8" t="n">
        <f aca="false">G9-E9</f>
        <v>3</v>
      </c>
      <c r="I9" s="9" t="n">
        <f aca="false">IF((E9+H9)=0,F9,(E9*D9+H9*F9)/(E9+H9))</f>
        <v>3.88</v>
      </c>
    </row>
    <row r="10" customFormat="false" ht="15" hidden="false" customHeight="false" outlineLevel="0" collapsed="false">
      <c r="A10" s="4" t="s">
        <v>109</v>
      </c>
      <c r="B10" s="4" t="s">
        <v>110</v>
      </c>
      <c r="C10" s="4" t="s">
        <v>111</v>
      </c>
      <c r="D10" s="6" t="n">
        <v>1.63</v>
      </c>
      <c r="E10" s="4" t="n">
        <v>5</v>
      </c>
      <c r="F10" s="6" t="n">
        <v>1.63</v>
      </c>
      <c r="G10" s="4" t="n">
        <v>12</v>
      </c>
      <c r="H10" s="8" t="n">
        <f aca="false">G10-E10</f>
        <v>7</v>
      </c>
      <c r="I10" s="9" t="n">
        <f aca="false">IF((E10+H10)=0,F10,(E10*D10+H10*F10)/(E10+H10))</f>
        <v>1.63</v>
      </c>
    </row>
    <row r="11" customFormat="false" ht="15" hidden="false" customHeight="false" outlineLevel="0" collapsed="false">
      <c r="A11" s="4" t="s">
        <v>112</v>
      </c>
      <c r="B11" s="4" t="s">
        <v>113</v>
      </c>
      <c r="C11" s="4" t="s">
        <v>113</v>
      </c>
      <c r="D11" s="6" t="n">
        <v>1.25</v>
      </c>
      <c r="E11" s="4" t="n">
        <v>3</v>
      </c>
      <c r="F11" s="6" t="n">
        <v>1.2417</v>
      </c>
      <c r="G11" s="4" t="n">
        <v>6</v>
      </c>
      <c r="H11" s="8" t="n">
        <f aca="false">G11-E11</f>
        <v>3</v>
      </c>
      <c r="I11" s="9" t="n">
        <f aca="false">IF((E11+H11)=0,F11,(E11*D11+H11*F11)/(E11+H11))</f>
        <v>1.24585</v>
      </c>
    </row>
  </sheetData>
  <mergeCells count="2">
    <mergeCell ref="A1:I1"/>
    <mergeCell ref="A2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2026-07-30T06:02:02Z</dcterms:created>
  <dc:creator>openpyxl</dc:creator>
  <dc:description/>
  <dc:language>en-US</dc:language>
  <cp:lastModifiedBy/>
  <dcterms:modified xsi:type="dcterms:W3CDTF">2026-07-30T06:02:02Z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